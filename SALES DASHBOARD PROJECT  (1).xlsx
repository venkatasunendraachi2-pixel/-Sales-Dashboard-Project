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unte\Downloads\"/>
    </mc:Choice>
  </mc:AlternateContent>
  <xr:revisionPtr revIDLastSave="0" documentId="8_{C8CE0EE3-239A-4807-92ED-3AB38CDAE10F}"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SALES DASHBOARD PROJECT" sheetId="5" r:id="rId2"/>
    <sheet name="sales_dashboard_dataset_500_row" sheetId="1" r:id="rId3"/>
  </sheets>
  <definedNames>
    <definedName name="Slicer_Product">#N/A</definedName>
    <definedName name="Slicer_Region1">#N/A</definedName>
  </definedNames>
  <calcPr calcId="191029"/>
  <pivotCaches>
    <pivotCache cacheId="0" r:id="rId4"/>
    <pivotCache cacheId="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7" i="1" l="1"/>
  <c r="J6" i="1"/>
</calcChain>
</file>

<file path=xl/sharedStrings.xml><?xml version="1.0" encoding="utf-8"?>
<sst xmlns="http://schemas.openxmlformats.org/spreadsheetml/2006/main" count="1063" uniqueCount="37">
  <si>
    <t>Order ID</t>
  </si>
  <si>
    <t>Date</t>
  </si>
  <si>
    <t>Region</t>
  </si>
  <si>
    <t>Product</t>
  </si>
  <si>
    <t>Sales</t>
  </si>
  <si>
    <t>Profit</t>
  </si>
  <si>
    <t>Quantity</t>
  </si>
  <si>
    <t>East</t>
  </si>
  <si>
    <t>Monitor</t>
  </si>
  <si>
    <t>West</t>
  </si>
  <si>
    <t>North</t>
  </si>
  <si>
    <t>Laptop</t>
  </si>
  <si>
    <t>Tablet</t>
  </si>
  <si>
    <t>Mobile</t>
  </si>
  <si>
    <t>South</t>
  </si>
  <si>
    <t>Headphones</t>
  </si>
  <si>
    <t>Sum of Sales</t>
  </si>
  <si>
    <t>Row Labels</t>
  </si>
  <si>
    <t>Grand Total</t>
  </si>
  <si>
    <t>2024</t>
  </si>
  <si>
    <t>Jan</t>
  </si>
  <si>
    <t>Feb</t>
  </si>
  <si>
    <t>Mar</t>
  </si>
  <si>
    <t>May</t>
  </si>
  <si>
    <t>Jun</t>
  </si>
  <si>
    <t>Jul</t>
  </si>
  <si>
    <t>Sep</t>
  </si>
  <si>
    <t>Oct</t>
  </si>
  <si>
    <t>Dec</t>
  </si>
  <si>
    <t>2025</t>
  </si>
  <si>
    <t>total sales</t>
  </si>
  <si>
    <t>total orders</t>
  </si>
  <si>
    <t>top region</t>
  </si>
  <si>
    <t>top product</t>
  </si>
  <si>
    <t>Apr</t>
  </si>
  <si>
    <t>Aug</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</si>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</sst>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FULL.xlsx]Sheet1!PivotTable1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4593846</c:v>
                </c:pt>
                <c:pt idx="1">
                  <c:v>5101439</c:v>
                </c:pt>
                <c:pt idx="2">
                  <c:v>4390253</c:v>
                </c:pt>
                <c:pt idx="3">
                  <c:v>6501385</c:v>
                </c:pt>
              </c:numCache>
            </c:numRef>
          </c:val>
          <c:extLst>
            <c:ext xmlns:c16="http://schemas.microsoft.com/office/drawing/2014/chart" uri="{C3380CC4-5D6E-409C-BE32-E72D297353CC}">
              <c16:uniqueId val="{00000000-EA85-4736-99A7-FF7FBB5BD615}"/>
            </c:ext>
          </c:extLst>
        </c:ser>
        <c:dLbls>
          <c:showLegendKey val="0"/>
          <c:showVal val="0"/>
          <c:showCatName val="0"/>
          <c:showSerName val="0"/>
          <c:showPercent val="0"/>
          <c:showBubbleSize val="0"/>
        </c:dLbls>
        <c:gapWidth val="219"/>
        <c:overlap val="-27"/>
        <c:axId val="1887987552"/>
        <c:axId val="1887986720"/>
      </c:barChart>
      <c:catAx>
        <c:axId val="188798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986720"/>
        <c:crosses val="autoZero"/>
        <c:auto val="1"/>
        <c:lblAlgn val="ctr"/>
        <c:lblOffset val="100"/>
        <c:noMultiLvlLbl val="0"/>
      </c:catAx>
      <c:valAx>
        <c:axId val="188798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98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FULL.xlsx]Sheet1!PivotTable2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Sheet1!$I$3</c:f>
              <c:strCache>
                <c:ptCount val="1"/>
                <c:pt idx="0">
                  <c:v>Total</c:v>
                </c:pt>
              </c:strCache>
            </c:strRef>
          </c:tx>
          <c:spPr>
            <a:solidFill>
              <a:schemeClr val="accent1"/>
            </a:solidFill>
            <a:ln>
              <a:noFill/>
            </a:ln>
            <a:effectLst/>
          </c:spPr>
          <c:invertIfNegative val="0"/>
          <c:cat>
            <c:strRef>
              <c:f>Sheet1!$H$4:$H$9</c:f>
              <c:strCache>
                <c:ptCount val="5"/>
                <c:pt idx="0">
                  <c:v>Monitor</c:v>
                </c:pt>
                <c:pt idx="1">
                  <c:v>Mobile</c:v>
                </c:pt>
                <c:pt idx="2">
                  <c:v>Headphones</c:v>
                </c:pt>
                <c:pt idx="3">
                  <c:v>Laptop</c:v>
                </c:pt>
                <c:pt idx="4">
                  <c:v>Tablet</c:v>
                </c:pt>
              </c:strCache>
            </c:strRef>
          </c:cat>
          <c:val>
            <c:numRef>
              <c:f>Sheet1!$I$4:$I$9</c:f>
              <c:numCache>
                <c:formatCode>General</c:formatCode>
                <c:ptCount val="5"/>
                <c:pt idx="0">
                  <c:v>4697841</c:v>
                </c:pt>
                <c:pt idx="1">
                  <c:v>4517292</c:v>
                </c:pt>
                <c:pt idx="2">
                  <c:v>3886533</c:v>
                </c:pt>
                <c:pt idx="3">
                  <c:v>3866857</c:v>
                </c:pt>
                <c:pt idx="4">
                  <c:v>3618400</c:v>
                </c:pt>
              </c:numCache>
            </c:numRef>
          </c:val>
          <c:extLst>
            <c:ext xmlns:c16="http://schemas.microsoft.com/office/drawing/2014/chart" uri="{C3380CC4-5D6E-409C-BE32-E72D297353CC}">
              <c16:uniqueId val="{00000000-8AE2-4CB7-864E-C2909243A0A9}"/>
            </c:ext>
          </c:extLst>
        </c:ser>
        <c:dLbls>
          <c:showLegendKey val="0"/>
          <c:showVal val="0"/>
          <c:showCatName val="0"/>
          <c:showSerName val="0"/>
          <c:showPercent val="0"/>
          <c:showBubbleSize val="0"/>
        </c:dLbls>
        <c:gapWidth val="182"/>
        <c:axId val="1889909664"/>
        <c:axId val="1889908000"/>
      </c:barChart>
      <c:catAx>
        <c:axId val="188990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908000"/>
        <c:crosses val="autoZero"/>
        <c:auto val="1"/>
        <c:lblAlgn val="ctr"/>
        <c:lblOffset val="100"/>
        <c:noMultiLvlLbl val="0"/>
      </c:catAx>
      <c:valAx>
        <c:axId val="1889908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90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FULL.xlsx]Sheet1!PivotTable3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Sheet1!$R$3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Sheet1!$Q$4:$Q$23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Sheet1!$R$4:$R$23</c:f>
              <c:numCache>
                <c:formatCode>General</c:formatCode>
                <c:ptCount val="17"/>
                <c:pt idx="0">
                  <c:v>196821</c:v>
                </c:pt>
                <c:pt idx="1">
                  <c:v>165453</c:v>
                </c:pt>
                <c:pt idx="2">
                  <c:v>148421</c:v>
                </c:pt>
                <c:pt idx="3">
                  <c:v>65255</c:v>
                </c:pt>
                <c:pt idx="4">
                  <c:v>328351</c:v>
                </c:pt>
                <c:pt idx="5">
                  <c:v>139479</c:v>
                </c:pt>
                <c:pt idx="6">
                  <c:v>263667</c:v>
                </c:pt>
                <c:pt idx="7">
                  <c:v>174073</c:v>
                </c:pt>
                <c:pt idx="8">
                  <c:v>184548</c:v>
                </c:pt>
                <c:pt idx="9">
                  <c:v>161167</c:v>
                </c:pt>
                <c:pt idx="10">
                  <c:v>124704</c:v>
                </c:pt>
                <c:pt idx="11">
                  <c:v>385382</c:v>
                </c:pt>
                <c:pt idx="12">
                  <c:v>249030</c:v>
                </c:pt>
                <c:pt idx="13">
                  <c:v>251404</c:v>
                </c:pt>
                <c:pt idx="14">
                  <c:v>416937</c:v>
                </c:pt>
                <c:pt idx="15">
                  <c:v>141666</c:v>
                </c:pt>
                <c:pt idx="16">
                  <c:v>222042</c:v>
                </c:pt>
              </c:numCache>
            </c:numRef>
          </c:val>
          <c:smooth val="0"/>
          <c:extLst>
            <c:ext xmlns:c16="http://schemas.microsoft.com/office/drawing/2014/chart" uri="{C3380CC4-5D6E-409C-BE32-E72D297353CC}">
              <c16:uniqueId val="{00000000-146C-4D24-B37A-83A050F4E780}"/>
            </c:ext>
          </c:extLst>
        </c:ser>
        <c:dLbls>
          <c:showLegendKey val="0"/>
          <c:showVal val="0"/>
          <c:showCatName val="0"/>
          <c:showSerName val="0"/>
          <c:showPercent val="0"/>
          <c:showBubbleSize val="0"/>
        </c:dLbls>
        <c:marker val="1"/>
        <c:smooth val="0"/>
        <c:axId val="1887988384"/>
        <c:axId val="1887988800"/>
      </c:lineChart>
      <c:catAx>
        <c:axId val="188798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988800"/>
        <c:crosses val="autoZero"/>
        <c:auto val="1"/>
        <c:lblAlgn val="ctr"/>
        <c:lblOffset val="100"/>
        <c:noMultiLvlLbl val="0"/>
      </c:catAx>
      <c:valAx>
        <c:axId val="188798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98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FULL.xlsx]Sheet1!PivotTable3</c:name>
    <c:fmtId val="2"/>
  </c:pivotSource>
  <c:chart>
    <c:title>
      <c:tx>
        <c:rich>
          <a:bodyPr rot="0" spcFirstLastPara="1" vertOverflow="ellipsis" vert="horz" wrap="square" anchor="ctr" anchorCtr="1"/>
          <a:lstStyle/>
          <a:p>
            <a:pPr>
              <a:defRPr sz="1400" b="0" i="0" u="none" strike="noStrike" kern="1200" spc="0" baseline="0">
                <a:ln>
                  <a:solidFill>
                    <a:schemeClr val="tx2"/>
                  </a:solidFill>
                </a:ln>
                <a:solidFill>
                  <a:schemeClr val="tx1">
                    <a:lumMod val="65000"/>
                    <a:lumOff val="35000"/>
                  </a:schemeClr>
                </a:solidFill>
                <a:latin typeface="+mn-lt"/>
                <a:ea typeface="+mn-ea"/>
                <a:cs typeface="+mn-cs"/>
              </a:defRPr>
            </a:pPr>
            <a:r>
              <a:rPr lang="en-US">
                <a:ln>
                  <a:solidFill>
                    <a:schemeClr val="tx2"/>
                  </a:solidFill>
                </a:ln>
              </a:rPr>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2"/>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Sheet1!$R$3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Sheet1!$Q$4:$Q$23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Sheet1!$R$4:$R$23</c:f>
              <c:numCache>
                <c:formatCode>General</c:formatCode>
                <c:ptCount val="17"/>
                <c:pt idx="0">
                  <c:v>196821</c:v>
                </c:pt>
                <c:pt idx="1">
                  <c:v>165453</c:v>
                </c:pt>
                <c:pt idx="2">
                  <c:v>148421</c:v>
                </c:pt>
                <c:pt idx="3">
                  <c:v>65255</c:v>
                </c:pt>
                <c:pt idx="4">
                  <c:v>328351</c:v>
                </c:pt>
                <c:pt idx="5">
                  <c:v>139479</c:v>
                </c:pt>
                <c:pt idx="6">
                  <c:v>263667</c:v>
                </c:pt>
                <c:pt idx="7">
                  <c:v>174073</c:v>
                </c:pt>
                <c:pt idx="8">
                  <c:v>184548</c:v>
                </c:pt>
                <c:pt idx="9">
                  <c:v>161167</c:v>
                </c:pt>
                <c:pt idx="10">
                  <c:v>124704</c:v>
                </c:pt>
                <c:pt idx="11">
                  <c:v>385382</c:v>
                </c:pt>
                <c:pt idx="12">
                  <c:v>249030</c:v>
                </c:pt>
                <c:pt idx="13">
                  <c:v>251404</c:v>
                </c:pt>
                <c:pt idx="14">
                  <c:v>416937</c:v>
                </c:pt>
                <c:pt idx="15">
                  <c:v>141666</c:v>
                </c:pt>
                <c:pt idx="16">
                  <c:v>222042</c:v>
                </c:pt>
              </c:numCache>
            </c:numRef>
          </c:val>
          <c:smooth val="0"/>
          <c:extLst>
            <c:ext xmlns:c16="http://schemas.microsoft.com/office/drawing/2014/chart" uri="{C3380CC4-5D6E-409C-BE32-E72D297353CC}">
              <c16:uniqueId val="{00000000-C455-4EE2-AA81-ED5820171C7A}"/>
            </c:ext>
          </c:extLst>
        </c:ser>
        <c:dLbls>
          <c:dLblPos val="t"/>
          <c:showLegendKey val="0"/>
          <c:showVal val="1"/>
          <c:showCatName val="0"/>
          <c:showSerName val="0"/>
          <c:showPercent val="0"/>
          <c:showBubbleSize val="0"/>
        </c:dLbls>
        <c:marker val="1"/>
        <c:smooth val="0"/>
        <c:axId val="1887988384"/>
        <c:axId val="1887988800"/>
      </c:lineChart>
      <c:catAx>
        <c:axId val="188798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988800"/>
        <c:crosses val="autoZero"/>
        <c:auto val="1"/>
        <c:lblAlgn val="ctr"/>
        <c:lblOffset val="100"/>
        <c:noMultiLvlLbl val="0"/>
      </c:catAx>
      <c:valAx>
        <c:axId val="1887988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988384"/>
        <c:crosses val="autoZero"/>
        <c:crossBetween val="between"/>
      </c:valAx>
      <c:spPr>
        <a:solidFill>
          <a:schemeClr val="bg2"/>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FULL.xlsx]Sheet1!PivotTable2</c:name>
    <c:fmtId val="2"/>
  </c:pivotSource>
  <c:chart>
    <c:title>
      <c:tx>
        <c:rich>
          <a:bodyPr rot="0" spcFirstLastPara="1" vertOverflow="ellipsis" vert="horz" wrap="square" anchor="ctr" anchorCtr="1"/>
          <a:lstStyle/>
          <a:p>
            <a:pPr>
              <a:defRPr sz="1400" b="0" i="0" u="none" strike="noStrike" kern="1200" spc="0" baseline="0">
                <a:ln>
                  <a:solidFill>
                    <a:schemeClr val="tx2"/>
                  </a:solidFill>
                </a:ln>
                <a:solidFill>
                  <a:schemeClr val="tx1">
                    <a:lumMod val="65000"/>
                    <a:lumOff val="35000"/>
                  </a:schemeClr>
                </a:solidFill>
                <a:latin typeface="+mn-lt"/>
                <a:ea typeface="+mn-ea"/>
                <a:cs typeface="+mn-cs"/>
              </a:defRPr>
            </a:pPr>
            <a:r>
              <a:rPr lang="en-US">
                <a:ln>
                  <a:solidFill>
                    <a:schemeClr val="tx2"/>
                  </a:solidFill>
                </a:ln>
              </a:rPr>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2"/>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Sheet1!$H$4:$H$9</c:f>
              <c:strCache>
                <c:ptCount val="5"/>
                <c:pt idx="0">
                  <c:v>Monitor</c:v>
                </c:pt>
                <c:pt idx="1">
                  <c:v>Mobile</c:v>
                </c:pt>
                <c:pt idx="2">
                  <c:v>Headphones</c:v>
                </c:pt>
                <c:pt idx="3">
                  <c:v>Laptop</c:v>
                </c:pt>
                <c:pt idx="4">
                  <c:v>Tablet</c:v>
                </c:pt>
              </c:strCache>
            </c:strRef>
          </c:cat>
          <c:val>
            <c:numRef>
              <c:f>Sheet1!$I$4:$I$9</c:f>
              <c:numCache>
                <c:formatCode>General</c:formatCode>
                <c:ptCount val="5"/>
                <c:pt idx="0">
                  <c:v>4697841</c:v>
                </c:pt>
                <c:pt idx="1">
                  <c:v>4517292</c:v>
                </c:pt>
                <c:pt idx="2">
                  <c:v>3886533</c:v>
                </c:pt>
                <c:pt idx="3">
                  <c:v>3866857</c:v>
                </c:pt>
                <c:pt idx="4">
                  <c:v>3618400</c:v>
                </c:pt>
              </c:numCache>
            </c:numRef>
          </c:val>
          <c:extLst>
            <c:ext xmlns:c16="http://schemas.microsoft.com/office/drawing/2014/chart" uri="{C3380CC4-5D6E-409C-BE32-E72D297353CC}">
              <c16:uniqueId val="{00000000-405C-4131-BB29-7622993356AE}"/>
            </c:ext>
          </c:extLst>
        </c:ser>
        <c:dLbls>
          <c:dLblPos val="outEnd"/>
          <c:showLegendKey val="0"/>
          <c:showVal val="1"/>
          <c:showCatName val="0"/>
          <c:showSerName val="0"/>
          <c:showPercent val="0"/>
          <c:showBubbleSize val="0"/>
        </c:dLbls>
        <c:gapWidth val="182"/>
        <c:axId val="1889909664"/>
        <c:axId val="1889908000"/>
      </c:barChart>
      <c:catAx>
        <c:axId val="188990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908000"/>
        <c:crosses val="autoZero"/>
        <c:auto val="1"/>
        <c:lblAlgn val="ctr"/>
        <c:lblOffset val="100"/>
        <c:noMultiLvlLbl val="0"/>
      </c:catAx>
      <c:valAx>
        <c:axId val="1889908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909664"/>
        <c:crosses val="autoZero"/>
        <c:crossBetween val="between"/>
      </c:valAx>
      <c:spPr>
        <a:solidFill>
          <a:schemeClr val="bg2"/>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FULL.xlsx]Sheet1!PivotTable1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Sheet1!$A$4:$A$8</c:f>
              <c:strCache>
                <c:ptCount val="4"/>
                <c:pt idx="0">
                  <c:v>East</c:v>
                </c:pt>
                <c:pt idx="1">
                  <c:v>North</c:v>
                </c:pt>
                <c:pt idx="2">
                  <c:v>South</c:v>
                </c:pt>
                <c:pt idx="3">
                  <c:v>West</c:v>
                </c:pt>
              </c:strCache>
            </c:strRef>
          </c:cat>
          <c:val>
            <c:numRef>
              <c:f>Sheet1!$B$4:$B$8</c:f>
              <c:numCache>
                <c:formatCode>General</c:formatCode>
                <c:ptCount val="4"/>
                <c:pt idx="0">
                  <c:v>4593846</c:v>
                </c:pt>
                <c:pt idx="1">
                  <c:v>5101439</c:v>
                </c:pt>
                <c:pt idx="2">
                  <c:v>4390253</c:v>
                </c:pt>
                <c:pt idx="3">
                  <c:v>6501385</c:v>
                </c:pt>
              </c:numCache>
            </c:numRef>
          </c:val>
          <c:extLst>
            <c:ext xmlns:c16="http://schemas.microsoft.com/office/drawing/2014/chart" uri="{C3380CC4-5D6E-409C-BE32-E72D297353CC}">
              <c16:uniqueId val="{00000000-CE71-4F7F-962B-04E2E1937426}"/>
            </c:ext>
          </c:extLst>
        </c:ser>
        <c:dLbls>
          <c:dLblPos val="outEnd"/>
          <c:showLegendKey val="0"/>
          <c:showVal val="1"/>
          <c:showCatName val="0"/>
          <c:showSerName val="0"/>
          <c:showPercent val="0"/>
          <c:showBubbleSize val="0"/>
        </c:dLbls>
        <c:gapWidth val="100"/>
        <c:overlap val="-24"/>
        <c:axId val="1887987552"/>
        <c:axId val="1887986720"/>
      </c:barChart>
      <c:catAx>
        <c:axId val="1887987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986720"/>
        <c:crosses val="autoZero"/>
        <c:auto val="1"/>
        <c:lblAlgn val="ctr"/>
        <c:lblOffset val="100"/>
        <c:noMultiLvlLbl val="0"/>
      </c:catAx>
      <c:valAx>
        <c:axId val="1887986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987552"/>
        <c:crosses val="autoZero"/>
        <c:crossBetween val="between"/>
      </c:valAx>
      <c:spPr>
        <a:solidFill>
          <a:schemeClr val="bg2"/>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152400</xdr:colOff>
      <xdr:row>9</xdr:row>
      <xdr:rowOff>140970</xdr:rowOff>
    </xdr:from>
    <xdr:to>
      <xdr:col>5</xdr:col>
      <xdr:colOff>449580</xdr:colOff>
      <xdr:row>20</xdr:row>
      <xdr:rowOff>0</xdr:rowOff>
    </xdr:to>
    <xdr:graphicFrame macro="">
      <xdr:nvGraphicFramePr>
        <xdr:cNvPr id="2" name="Chart 1">
          <a:extLst>
            <a:ext uri="{FF2B5EF4-FFF2-40B4-BE49-F238E27FC236}">
              <a16:creationId xmlns:a16="http://schemas.microsoft.com/office/drawing/2014/main" id="{5B943DBC-4868-45C8-966F-6453778FD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320040</xdr:colOff>
      <xdr:row>13</xdr:row>
      <xdr:rowOff>137160</xdr:rowOff>
    </xdr:from>
    <xdr:to>
      <xdr:col>11</xdr:col>
      <xdr:colOff>472440</xdr:colOff>
      <xdr:row>25</xdr:row>
      <xdr:rowOff>30480</xdr:rowOff>
    </xdr:to>
    <xdr:graphicFrame macro="">
      <xdr:nvGraphicFramePr>
        <xdr:cNvPr id="3" name="Chart 2">
          <a:extLst>
            <a:ext uri="{FF2B5EF4-FFF2-40B4-BE49-F238E27FC236}">
              <a16:creationId xmlns:a16="http://schemas.microsoft.com/office/drawing/2014/main" id="{3D4235C6-1DBB-454A-A8FF-F035B384E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68580</xdr:colOff>
      <xdr:row>17</xdr:row>
      <xdr:rowOff>45720</xdr:rowOff>
    </xdr:from>
    <xdr:to>
      <xdr:col>19</xdr:col>
      <xdr:colOff>541020</xdr:colOff>
      <xdr:row>28</xdr:row>
      <xdr:rowOff>118110</xdr:rowOff>
    </xdr:to>
    <xdr:graphicFrame macro="">
      <xdr:nvGraphicFramePr>
        <xdr:cNvPr id="4" name="Chart 3">
          <a:extLst>
            <a:ext uri="{FF2B5EF4-FFF2-40B4-BE49-F238E27FC236}">
              <a16:creationId xmlns:a16="http://schemas.microsoft.com/office/drawing/2014/main" id="{052F119C-738F-4039-9503-ABEB5139C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419100</xdr:colOff>
      <xdr:row>9</xdr:row>
      <xdr:rowOff>30480</xdr:rowOff>
    </xdr:from>
    <xdr:to>
      <xdr:col>26</xdr:col>
      <xdr:colOff>419100</xdr:colOff>
      <xdr:row>22</xdr:row>
      <xdr:rowOff>120015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0C210CE-3398-4A69-8BF6-31D36980BC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765780" y="1676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289560</xdr:colOff>
      <xdr:row>9</xdr:row>
      <xdr:rowOff>68580</xdr:rowOff>
    </xdr:from>
    <xdr:to>
      <xdr:col>23</xdr:col>
      <xdr:colOff>289560</xdr:colOff>
      <xdr:row>22</xdr:row>
      <xdr:rowOff>158115</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EBFD855F-283C-456D-9C70-E96C765248E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807440" y="1714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25</xdr:col>
      <xdr:colOff>24581</xdr:colOff>
      <xdr:row>19</xdr:row>
      <xdr:rowOff>77675</xdr:rowOff>
    </xdr:from>
    <xdr:to>
      <xdr:col>34</xdr:col>
      <xdr:colOff>497021</xdr:colOff>
      <xdr:row>34</xdr:row>
      <xdr:rowOff>-1</xdr:rowOff>
    </xdr:to>
    <xdr:graphicFrame macro="">
      <xdr:nvGraphicFramePr>
        <xdr:cNvPr id="4" name="Chart 3">
          <a:extLst>
            <a:ext uri="{FF2B5EF4-FFF2-40B4-BE49-F238E27FC236}">
              <a16:creationId xmlns:a16="http://schemas.microsoft.com/office/drawing/2014/main" id="{70583CA1-BF56-4AD7-9DE6-EBB40E058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485467</xdr:colOff>
      <xdr:row>19</xdr:row>
      <xdr:rowOff>75708</xdr:rowOff>
    </xdr:from>
    <xdr:to>
      <xdr:col>23</xdr:col>
      <xdr:colOff>325693</xdr:colOff>
      <xdr:row>34</xdr:row>
      <xdr:rowOff>1965</xdr:rowOff>
    </xdr:to>
    <xdr:graphicFrame macro="">
      <xdr:nvGraphicFramePr>
        <xdr:cNvPr id="3" name="Chart 2">
          <a:extLst>
            <a:ext uri="{FF2B5EF4-FFF2-40B4-BE49-F238E27FC236}">
              <a16:creationId xmlns:a16="http://schemas.microsoft.com/office/drawing/2014/main" id="{0F8AA819-49FE-46BB-A698-3DA456850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307258</xdr:colOff>
      <xdr:row>19</xdr:row>
      <xdr:rowOff>75708</xdr:rowOff>
    </xdr:from>
    <xdr:to>
      <xdr:col>12</xdr:col>
      <xdr:colOff>172063</xdr:colOff>
      <xdr:row>34</xdr:row>
      <xdr:rowOff>1966</xdr:rowOff>
    </xdr:to>
    <xdr:graphicFrame macro="">
      <xdr:nvGraphicFramePr>
        <xdr:cNvPr id="2" name="Chart 1">
          <a:extLst>
            <a:ext uri="{FF2B5EF4-FFF2-40B4-BE49-F238E27FC236}">
              <a16:creationId xmlns:a16="http://schemas.microsoft.com/office/drawing/2014/main" id="{EBD2B1C0-95BD-4470-98E2-C6495186E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589938</xdr:colOff>
      <xdr:row>11</xdr:row>
      <xdr:rowOff>129047</xdr:rowOff>
    </xdr:from>
    <xdr:to>
      <xdr:col>10</xdr:col>
      <xdr:colOff>356421</xdr:colOff>
      <xdr:row>16</xdr:row>
      <xdr:rowOff>6144</xdr:rowOff>
    </xdr:to>
    <xdr:sp macro="" textlink="">
      <xdr:nvSpPr>
        <xdr:cNvPr id="5" name="Rectangle 4">
          <a:extLst>
            <a:ext uri="{FF2B5EF4-FFF2-40B4-BE49-F238E27FC236}">
              <a16:creationId xmlns:a16="http://schemas.microsoft.com/office/drawing/2014/main" id="{31974DD8-4E61-4076-BB51-D9FBE0ABBD56}"/>
            </a:ext>
          </a:extLst>
        </xdr:cNvPr>
        <xdr:cNvSpPr/>
      </xdr:nvSpPr>
      <xdr:spPr>
        <a:xfrm>
          <a:off x="2433486" y="2156950"/>
          <a:ext cx="4068096" cy="798871"/>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a:t>
          </a:r>
          <a:r>
            <a:rPr lang="en-IN" sz="1800" b="1" baseline="0">
              <a:solidFill>
                <a:schemeClr val="tx1"/>
              </a:solidFill>
            </a:rPr>
            <a:t> SALES</a:t>
          </a:r>
        </a:p>
        <a:p>
          <a:pPr algn="ctr"/>
          <a:r>
            <a:rPr lang="en-IN" sz="2400" b="1" i="0" u="none" strike="noStrike">
              <a:solidFill>
                <a:schemeClr val="bg1"/>
              </a:solidFill>
              <a:effectLst/>
              <a:latin typeface="+mn-lt"/>
              <a:ea typeface="+mn-ea"/>
              <a:cs typeface="+mn-cs"/>
            </a:rPr>
            <a:t>₹ 2,05,86,923</a:t>
          </a:r>
          <a:r>
            <a:rPr lang="en-IN" sz="1800">
              <a:solidFill>
                <a:schemeClr val="tx1"/>
              </a:solidFill>
            </a:rPr>
            <a:t> </a:t>
          </a:r>
          <a:endParaRPr lang="en-IN" sz="1800" b="1">
            <a:solidFill>
              <a:schemeClr val="tx1"/>
            </a:solidFill>
          </a:endParaRPr>
        </a:p>
      </xdr:txBody>
    </xdr:sp>
    <xdr:clientData/>
  </xdr:twoCellAnchor>
  <xdr:twoCellAnchor>
    <xdr:from>
      <xdr:col>11</xdr:col>
      <xdr:colOff>364614</xdr:colOff>
      <xdr:row>11</xdr:row>
      <xdr:rowOff>104466</xdr:rowOff>
    </xdr:from>
    <xdr:to>
      <xdr:col>17</xdr:col>
      <xdr:colOff>487517</xdr:colOff>
      <xdr:row>16</xdr:row>
      <xdr:rowOff>30724</xdr:rowOff>
    </xdr:to>
    <xdr:sp macro="" textlink="">
      <xdr:nvSpPr>
        <xdr:cNvPr id="6" name="Rectangle 5">
          <a:extLst>
            <a:ext uri="{FF2B5EF4-FFF2-40B4-BE49-F238E27FC236}">
              <a16:creationId xmlns:a16="http://schemas.microsoft.com/office/drawing/2014/main" id="{E59C045C-60C0-4BA1-87A6-5BDAFAB0E764}"/>
            </a:ext>
          </a:extLst>
        </xdr:cNvPr>
        <xdr:cNvSpPr/>
      </xdr:nvSpPr>
      <xdr:spPr>
        <a:xfrm>
          <a:off x="7124291" y="2132369"/>
          <a:ext cx="3810000" cy="848032"/>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a:t>
          </a:r>
          <a:r>
            <a:rPr lang="en-IN" sz="1800">
              <a:solidFill>
                <a:schemeClr val="tx1"/>
              </a:solidFill>
            </a:rPr>
            <a:t> </a:t>
          </a:r>
          <a:r>
            <a:rPr lang="en-IN" sz="1800" b="1">
              <a:solidFill>
                <a:schemeClr val="tx1"/>
              </a:solidFill>
            </a:rPr>
            <a:t>ORDERS</a:t>
          </a:r>
        </a:p>
        <a:p>
          <a:pPr algn="ctr"/>
          <a:r>
            <a:rPr lang="en-IN" sz="2400" b="1">
              <a:solidFill>
                <a:schemeClr val="bg1"/>
              </a:solidFill>
            </a:rPr>
            <a:t>500</a:t>
          </a:r>
        </a:p>
      </xdr:txBody>
    </xdr:sp>
    <xdr:clientData/>
  </xdr:twoCellAnchor>
  <xdr:twoCellAnchor>
    <xdr:from>
      <xdr:col>18</xdr:col>
      <xdr:colOff>495710</xdr:colOff>
      <xdr:row>11</xdr:row>
      <xdr:rowOff>86031</xdr:rowOff>
    </xdr:from>
    <xdr:to>
      <xdr:col>25</xdr:col>
      <xdr:colOff>4097</xdr:colOff>
      <xdr:row>16</xdr:row>
      <xdr:rowOff>49160</xdr:rowOff>
    </xdr:to>
    <xdr:sp macro="" textlink="">
      <xdr:nvSpPr>
        <xdr:cNvPr id="7" name="Rectangle 6">
          <a:extLst>
            <a:ext uri="{FF2B5EF4-FFF2-40B4-BE49-F238E27FC236}">
              <a16:creationId xmlns:a16="http://schemas.microsoft.com/office/drawing/2014/main" id="{1E3556C3-BDF4-40D5-80A0-481242F76467}"/>
            </a:ext>
          </a:extLst>
        </xdr:cNvPr>
        <xdr:cNvSpPr/>
      </xdr:nvSpPr>
      <xdr:spPr>
        <a:xfrm>
          <a:off x="11557000" y="2113934"/>
          <a:ext cx="3810000" cy="884903"/>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TOP</a:t>
          </a:r>
          <a:r>
            <a:rPr lang="en-IN" sz="1800">
              <a:solidFill>
                <a:schemeClr val="tx1"/>
              </a:solidFill>
            </a:rPr>
            <a:t> </a:t>
          </a:r>
          <a:r>
            <a:rPr lang="en-IN" sz="1800" b="1">
              <a:solidFill>
                <a:schemeClr val="tx1"/>
              </a:solidFill>
            </a:rPr>
            <a:t>REGION</a:t>
          </a:r>
        </a:p>
        <a:p>
          <a:pPr algn="ctr"/>
          <a:r>
            <a:rPr lang="en-IN" sz="2400" b="1">
              <a:solidFill>
                <a:schemeClr val="bg1"/>
              </a:solidFill>
            </a:rPr>
            <a:t>WEST</a:t>
          </a:r>
        </a:p>
      </xdr:txBody>
    </xdr:sp>
    <xdr:clientData/>
  </xdr:twoCellAnchor>
  <xdr:twoCellAnchor>
    <xdr:from>
      <xdr:col>26</xdr:col>
      <xdr:colOff>12289</xdr:colOff>
      <xdr:row>11</xdr:row>
      <xdr:rowOff>116756</xdr:rowOff>
    </xdr:from>
    <xdr:to>
      <xdr:col>32</xdr:col>
      <xdr:colOff>135192</xdr:colOff>
      <xdr:row>16</xdr:row>
      <xdr:rowOff>18434</xdr:rowOff>
    </xdr:to>
    <xdr:sp macro="" textlink="">
      <xdr:nvSpPr>
        <xdr:cNvPr id="8" name="Rectangle 7">
          <a:extLst>
            <a:ext uri="{FF2B5EF4-FFF2-40B4-BE49-F238E27FC236}">
              <a16:creationId xmlns:a16="http://schemas.microsoft.com/office/drawing/2014/main" id="{834FF99A-125D-4592-B134-B2B1828F7103}"/>
            </a:ext>
          </a:extLst>
        </xdr:cNvPr>
        <xdr:cNvSpPr/>
      </xdr:nvSpPr>
      <xdr:spPr>
        <a:xfrm>
          <a:off x="15989708" y="2144659"/>
          <a:ext cx="3810000" cy="823452"/>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TOP</a:t>
          </a:r>
          <a:r>
            <a:rPr lang="en-IN" sz="1800">
              <a:solidFill>
                <a:schemeClr val="tx1"/>
              </a:solidFill>
            </a:rPr>
            <a:t> </a:t>
          </a:r>
          <a:r>
            <a:rPr lang="en-IN" sz="1800" b="1">
              <a:solidFill>
                <a:schemeClr val="tx1"/>
              </a:solidFill>
            </a:rPr>
            <a:t>PRODUCT</a:t>
          </a:r>
        </a:p>
        <a:p>
          <a:pPr algn="ctr"/>
          <a:r>
            <a:rPr lang="en-IN" sz="2400" b="1">
              <a:solidFill>
                <a:schemeClr val="bg1"/>
              </a:solidFill>
            </a:rPr>
            <a:t>MONITOR</a:t>
          </a:r>
        </a:p>
      </xdr:txBody>
    </xdr:sp>
    <xdr:clientData/>
  </xdr:twoCellAnchor>
  <xdr:twoCellAnchor editAs="oneCell">
    <xdr:from>
      <xdr:col>2</xdr:col>
      <xdr:colOff>350030</xdr:colOff>
      <xdr:row>35</xdr:row>
      <xdr:rowOff>110368</xdr:rowOff>
    </xdr:from>
    <xdr:to>
      <xdr:col>5</xdr:col>
      <xdr:colOff>335281</xdr:colOff>
      <xdr:row>42</xdr:row>
      <xdr:rowOff>172066</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FCE8CAD1-9440-463F-A58F-E4A89B0CE71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79062" y="6562787"/>
              <a:ext cx="1828800" cy="1352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381000</xdr:colOff>
      <xdr:row>3</xdr:row>
      <xdr:rowOff>98323</xdr:rowOff>
    </xdr:from>
    <xdr:to>
      <xdr:col>22</xdr:col>
      <xdr:colOff>98322</xdr:colOff>
      <xdr:row>10</xdr:row>
      <xdr:rowOff>1</xdr:rowOff>
    </xdr:to>
    <xdr:sp macro="" textlink="">
      <xdr:nvSpPr>
        <xdr:cNvPr id="13" name="Rectangle: Rounded Corners 12">
          <a:extLst>
            <a:ext uri="{FF2B5EF4-FFF2-40B4-BE49-F238E27FC236}">
              <a16:creationId xmlns:a16="http://schemas.microsoft.com/office/drawing/2014/main" id="{A636C1C7-399C-436F-BE8C-AA2B1A2D2568}"/>
            </a:ext>
          </a:extLst>
        </xdr:cNvPr>
        <xdr:cNvSpPr/>
      </xdr:nvSpPr>
      <xdr:spPr>
        <a:xfrm>
          <a:off x="8984226" y="651388"/>
          <a:ext cx="4633451" cy="1192161"/>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3200" b="1">
              <a:solidFill>
                <a:schemeClr val="tx1"/>
              </a:solidFill>
            </a:rPr>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endra achi" refreshedDate="46110.793420254631" createdVersion="7" refreshedVersion="7" minRefreshableVersion="3" recordCount="500" xr:uid="{00000000-000A-0000-FFFF-FFFF07000000}">
  <cacheSource type="worksheet">
    <worksheetSource ref="A1:G501" sheet="sales_dashboard_dataset_500_row"/>
  </cacheSource>
  <cacheFields count="8">
    <cacheField name="Order ID" numFmtId="0">
      <sharedItems containsSemiMixedTypes="0" containsString="0" containsNumber="1" containsInteger="1" minValue="1001" maxValue="1500"/>
    </cacheField>
    <cacheField name="Date" numFmtId="14">
      <sharedItems containsSemiMixedTypes="0" containsNonDate="0" containsDate="1" containsString="0" minDate="2024-01-01T00:00:00" maxDate="2025-05-15T00:00:00" count="5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sharedItems>
      <fieldGroup par="7" base="1">
        <rangePr groupBy="months" startDate="2024-01-01T00:00:00" endDate="2025-05-15T00:00:00"/>
        <groupItems count="14">
          <s v="&lt;01-01-2024"/>
          <s v="Jan"/>
          <s v="Feb"/>
          <s v="Mar"/>
          <s v="Apr"/>
          <s v="May"/>
          <s v="Jun"/>
          <s v="Jul"/>
          <s v="Aug"/>
          <s v="Sep"/>
          <s v="Oct"/>
          <s v="Nov"/>
          <s v="Dec"/>
          <s v="&gt;15-05-2025"/>
        </groupItems>
      </fieldGroup>
    </cacheField>
    <cacheField name="Region" numFmtId="0">
      <sharedItems count="4">
        <s v="East"/>
        <s v="West"/>
        <s v="North"/>
        <s v="South"/>
      </sharedItems>
    </cacheField>
    <cacheField name="Product" numFmtId="0">
      <sharedItems count="5">
        <s v="Monitor"/>
        <s v="Laptop"/>
        <s v="Tablet"/>
        <s v="Mobile"/>
        <s v="Headphones"/>
      </sharedItems>
    </cacheField>
    <cacheField name="Sales" numFmtId="0">
      <sharedItems containsSemiMixedTypes="0" containsString="0" containsNumber="1" containsInteger="1" minValue="5060" maxValue="79910"/>
    </cacheField>
    <cacheField name="Profit" numFmtId="0">
      <sharedItems containsSemiMixedTypes="0" containsString="0" containsNumber="1" containsInteger="1" minValue="501" maxValue="14968"/>
    </cacheField>
    <cacheField name="Quantity" numFmtId="0">
      <sharedItems containsSemiMixedTypes="0" containsString="0" containsNumber="1" containsInteger="1" minValue="1" maxValue="9"/>
    </cacheField>
    <cacheField name="Years" numFmtId="0" databaseField="0">
      <fieldGroup base="1">
        <rangePr groupBy="years" startDate="2024-01-01T00:00:00" endDate="2025-05-15T00:00:00"/>
        <groupItems count="4">
          <s v="&lt;01-01-2024"/>
          <s v="2024"/>
          <s v="2025"/>
          <s v="&gt;15-05-2025"/>
        </groupItems>
      </fieldGroup>
    </cacheField>
  </cacheFields>
  <extLst>
    <ext xmlns:x14="http://schemas.microsoft.com/office/spreadsheetml/2009/9/main" uri="{725AE2AE-9491-48be-B2B4-4EB974FC3084}">
      <x14:pivotCacheDefinition pivotCacheId="7826914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endra achi" refreshedDate="46110.879720370373" createdVersion="7" refreshedVersion="7" minRefreshableVersion="3" recordCount="500" xr:uid="{05FD10F4-6D3D-4568-8E8A-CBCA47350D5E}">
  <cacheSource type="worksheet">
    <worksheetSource name="Table2"/>
  </cacheSource>
  <cacheFields count="7">
    <cacheField name="Order ID" numFmtId="0">
      <sharedItems containsSemiMixedTypes="0" containsString="0" containsNumber="1" containsInteger="1" minValue="1001" maxValue="1500"/>
    </cacheField>
    <cacheField name="Date" numFmtId="14">
      <sharedItems containsSemiMixedTypes="0" containsNonDate="0" containsDate="1" containsString="0" minDate="2024-01-01T00:00:00" maxDate="2025-05-15T00:00:00"/>
    </cacheField>
    <cacheField name="Region" numFmtId="0">
      <sharedItems count="4">
        <s v="East"/>
        <s v="West"/>
        <s v="North"/>
        <s v="South"/>
      </sharedItems>
    </cacheField>
    <cacheField name="Product" numFmtId="0">
      <sharedItems count="5">
        <s v="Monitor"/>
        <s v="Laptop"/>
        <s v="Tablet"/>
        <s v="Mobile"/>
        <s v="Headphones"/>
      </sharedItems>
    </cacheField>
    <cacheField name="Sales" numFmtId="0">
      <sharedItems containsSemiMixedTypes="0" containsString="0" containsNumber="1" containsInteger="1" minValue="5060" maxValue="79910"/>
    </cacheField>
    <cacheField name="Profit" numFmtId="0">
      <sharedItems containsSemiMixedTypes="0" containsString="0" containsNumber="1" containsInteger="1" minValue="501" maxValue="14968"/>
    </cacheField>
    <cacheField name="Quantity" numFmtId="0">
      <sharedItems containsSemiMixedTypes="0" containsString="0" containsNumber="1" containsInteger="1" minValue="1" maxValue="9"/>
    </cacheField>
  </cacheFields>
  <extLst>
    <ext xmlns:x14="http://schemas.microsoft.com/office/spreadsheetml/2009/9/main" uri="{725AE2AE-9491-48be-B2B4-4EB974FC3084}">
      <x14:pivotCacheDefinition pivotCacheId="483988122"/>
    </ext>
  </extLst>
</pivotCacheDefinition>
</file>

<file path=xl/pivotCache/pivotCacheRecords1.xml><?xml version="1.0" encoding="utf-8"?>
<pivotCacheRecords xmlns="http://schemas.openxmlformats.org/spreadsheetml/2006/main" xmlns:r="http://schemas.openxmlformats.org/officeDocument/2006/relationships" count="500">
  <r>
    <n v="1001"/>
    <x v="0"/>
    <x v="0"/>
    <x v="0"/>
    <n v="40854"/>
    <n v="9396"/>
    <n v="3"/>
  </r>
  <r>
    <n v="1002"/>
    <x v="1"/>
    <x v="1"/>
    <x v="0"/>
    <n v="51271"/>
    <n v="8673"/>
    <n v="6"/>
  </r>
  <r>
    <n v="1003"/>
    <x v="2"/>
    <x v="2"/>
    <x v="1"/>
    <n v="78688"/>
    <n v="14786"/>
    <n v="3"/>
  </r>
  <r>
    <n v="1004"/>
    <x v="3"/>
    <x v="0"/>
    <x v="2"/>
    <n v="43518"/>
    <n v="3132"/>
    <n v="2"/>
  </r>
  <r>
    <n v="1005"/>
    <x v="4"/>
    <x v="0"/>
    <x v="3"/>
    <n v="15267"/>
    <n v="4994"/>
    <n v="8"/>
  </r>
  <r>
    <n v="1006"/>
    <x v="5"/>
    <x v="1"/>
    <x v="1"/>
    <n v="6062"/>
    <n v="8556"/>
    <n v="5"/>
  </r>
  <r>
    <n v="1007"/>
    <x v="6"/>
    <x v="2"/>
    <x v="3"/>
    <n v="55448"/>
    <n v="8011"/>
    <n v="1"/>
  </r>
  <r>
    <n v="1008"/>
    <x v="7"/>
    <x v="2"/>
    <x v="3"/>
    <n v="11229"/>
    <n v="9655"/>
    <n v="3"/>
  </r>
  <r>
    <n v="1009"/>
    <x v="8"/>
    <x v="0"/>
    <x v="2"/>
    <n v="61793"/>
    <n v="10926"/>
    <n v="8"/>
  </r>
  <r>
    <n v="1010"/>
    <x v="9"/>
    <x v="3"/>
    <x v="3"/>
    <n v="52915"/>
    <n v="10733"/>
    <n v="4"/>
  </r>
  <r>
    <n v="1011"/>
    <x v="10"/>
    <x v="0"/>
    <x v="3"/>
    <n v="9632"/>
    <n v="2328"/>
    <n v="7"/>
  </r>
  <r>
    <n v="1012"/>
    <x v="11"/>
    <x v="0"/>
    <x v="2"/>
    <n v="8596"/>
    <n v="10800"/>
    <n v="2"/>
  </r>
  <r>
    <n v="1013"/>
    <x v="12"/>
    <x v="0"/>
    <x v="3"/>
    <n v="11168"/>
    <n v="12760"/>
    <n v="7"/>
  </r>
  <r>
    <n v="1014"/>
    <x v="13"/>
    <x v="0"/>
    <x v="3"/>
    <n v="12561"/>
    <n v="9630"/>
    <n v="5"/>
  </r>
  <r>
    <n v="1015"/>
    <x v="14"/>
    <x v="1"/>
    <x v="3"/>
    <n v="78794"/>
    <n v="5305"/>
    <n v="5"/>
  </r>
  <r>
    <n v="1016"/>
    <x v="15"/>
    <x v="2"/>
    <x v="1"/>
    <n v="31734"/>
    <n v="1306"/>
    <n v="6"/>
  </r>
  <r>
    <n v="1017"/>
    <x v="16"/>
    <x v="1"/>
    <x v="1"/>
    <n v="11371"/>
    <n v="10155"/>
    <n v="9"/>
  </r>
  <r>
    <n v="1018"/>
    <x v="17"/>
    <x v="1"/>
    <x v="1"/>
    <n v="31069"/>
    <n v="7986"/>
    <n v="6"/>
  </r>
  <r>
    <n v="1019"/>
    <x v="18"/>
    <x v="1"/>
    <x v="2"/>
    <n v="17910"/>
    <n v="14113"/>
    <n v="8"/>
  </r>
  <r>
    <n v="1020"/>
    <x v="19"/>
    <x v="0"/>
    <x v="0"/>
    <n v="78479"/>
    <n v="12107"/>
    <n v="7"/>
  </r>
  <r>
    <n v="1021"/>
    <x v="20"/>
    <x v="3"/>
    <x v="3"/>
    <n v="28275"/>
    <n v="8702"/>
    <n v="9"/>
  </r>
  <r>
    <n v="1022"/>
    <x v="21"/>
    <x v="2"/>
    <x v="3"/>
    <n v="77274"/>
    <n v="13873"/>
    <n v="4"/>
  </r>
  <r>
    <n v="1023"/>
    <x v="22"/>
    <x v="3"/>
    <x v="2"/>
    <n v="65004"/>
    <n v="2368"/>
    <n v="2"/>
  </r>
  <r>
    <n v="1024"/>
    <x v="23"/>
    <x v="1"/>
    <x v="3"/>
    <n v="67981"/>
    <n v="8378"/>
    <n v="7"/>
  </r>
  <r>
    <n v="1025"/>
    <x v="24"/>
    <x v="1"/>
    <x v="1"/>
    <n v="59553"/>
    <n v="13559"/>
    <n v="6"/>
  </r>
  <r>
    <n v="1026"/>
    <x v="25"/>
    <x v="3"/>
    <x v="0"/>
    <n v="53447"/>
    <n v="6190"/>
    <n v="1"/>
  </r>
  <r>
    <n v="1027"/>
    <x v="26"/>
    <x v="3"/>
    <x v="4"/>
    <n v="39529"/>
    <n v="14395"/>
    <n v="9"/>
  </r>
  <r>
    <n v="1028"/>
    <x v="27"/>
    <x v="3"/>
    <x v="3"/>
    <n v="22260"/>
    <n v="8327"/>
    <n v="9"/>
  </r>
  <r>
    <n v="1029"/>
    <x v="28"/>
    <x v="1"/>
    <x v="1"/>
    <n v="8812"/>
    <n v="5929"/>
    <n v="2"/>
  </r>
  <r>
    <n v="1030"/>
    <x v="29"/>
    <x v="1"/>
    <x v="4"/>
    <n v="33024"/>
    <n v="9576"/>
    <n v="3"/>
  </r>
  <r>
    <n v="1031"/>
    <x v="30"/>
    <x v="2"/>
    <x v="0"/>
    <n v="63656"/>
    <n v="4064"/>
    <n v="5"/>
  </r>
  <r>
    <n v="1032"/>
    <x v="31"/>
    <x v="2"/>
    <x v="4"/>
    <n v="32285"/>
    <n v="1889"/>
    <n v="5"/>
  </r>
  <r>
    <n v="1033"/>
    <x v="32"/>
    <x v="1"/>
    <x v="1"/>
    <n v="6605"/>
    <n v="12093"/>
    <n v="1"/>
  </r>
  <r>
    <n v="1034"/>
    <x v="33"/>
    <x v="3"/>
    <x v="4"/>
    <n v="76158"/>
    <n v="7774"/>
    <n v="8"/>
  </r>
  <r>
    <n v="1035"/>
    <x v="34"/>
    <x v="3"/>
    <x v="2"/>
    <n v="77303"/>
    <n v="13013"/>
    <n v="8"/>
  </r>
  <r>
    <n v="1036"/>
    <x v="35"/>
    <x v="2"/>
    <x v="4"/>
    <n v="32139"/>
    <n v="1324"/>
    <n v="4"/>
  </r>
  <r>
    <n v="1037"/>
    <x v="36"/>
    <x v="1"/>
    <x v="3"/>
    <n v="61138"/>
    <n v="2765"/>
    <n v="7"/>
  </r>
  <r>
    <n v="1038"/>
    <x v="37"/>
    <x v="2"/>
    <x v="3"/>
    <n v="18918"/>
    <n v="1436"/>
    <n v="3"/>
  </r>
  <r>
    <n v="1039"/>
    <x v="38"/>
    <x v="2"/>
    <x v="2"/>
    <n v="32446"/>
    <n v="11492"/>
    <n v="6"/>
  </r>
  <r>
    <n v="1040"/>
    <x v="39"/>
    <x v="0"/>
    <x v="1"/>
    <n v="18046"/>
    <n v="11245"/>
    <n v="9"/>
  </r>
  <r>
    <n v="1041"/>
    <x v="40"/>
    <x v="0"/>
    <x v="3"/>
    <n v="29818"/>
    <n v="6902"/>
    <n v="1"/>
  </r>
  <r>
    <n v="1042"/>
    <x v="41"/>
    <x v="0"/>
    <x v="0"/>
    <n v="9324"/>
    <n v="14699"/>
    <n v="5"/>
  </r>
  <r>
    <n v="1043"/>
    <x v="42"/>
    <x v="3"/>
    <x v="3"/>
    <n v="14111"/>
    <n v="4345"/>
    <n v="4"/>
  </r>
  <r>
    <n v="1044"/>
    <x v="43"/>
    <x v="1"/>
    <x v="3"/>
    <n v="43110"/>
    <n v="2296"/>
    <n v="8"/>
  </r>
  <r>
    <n v="1045"/>
    <x v="44"/>
    <x v="1"/>
    <x v="1"/>
    <n v="21389"/>
    <n v="8745"/>
    <n v="1"/>
  </r>
  <r>
    <n v="1046"/>
    <x v="45"/>
    <x v="1"/>
    <x v="4"/>
    <n v="46427"/>
    <n v="7714"/>
    <n v="9"/>
  </r>
  <r>
    <n v="1047"/>
    <x v="46"/>
    <x v="1"/>
    <x v="3"/>
    <n v="33746"/>
    <n v="1226"/>
    <n v="6"/>
  </r>
  <r>
    <n v="1048"/>
    <x v="47"/>
    <x v="0"/>
    <x v="2"/>
    <n v="5117"/>
    <n v="3236"/>
    <n v="4"/>
  </r>
  <r>
    <n v="1049"/>
    <x v="48"/>
    <x v="3"/>
    <x v="4"/>
    <n v="18234"/>
    <n v="14332"/>
    <n v="9"/>
  </r>
  <r>
    <n v="1050"/>
    <x v="49"/>
    <x v="3"/>
    <x v="0"/>
    <n v="58441"/>
    <n v="11862"/>
    <n v="5"/>
  </r>
  <r>
    <n v="1051"/>
    <x v="50"/>
    <x v="0"/>
    <x v="1"/>
    <n v="5846"/>
    <n v="13831"/>
    <n v="5"/>
  </r>
  <r>
    <n v="1052"/>
    <x v="51"/>
    <x v="3"/>
    <x v="0"/>
    <n v="15954"/>
    <n v="2413"/>
    <n v="5"/>
  </r>
  <r>
    <n v="1053"/>
    <x v="52"/>
    <x v="0"/>
    <x v="4"/>
    <n v="51514"/>
    <n v="14564"/>
    <n v="1"/>
  </r>
  <r>
    <n v="1054"/>
    <x v="53"/>
    <x v="1"/>
    <x v="4"/>
    <n v="11469"/>
    <n v="10288"/>
    <n v="1"/>
  </r>
  <r>
    <n v="1055"/>
    <x v="54"/>
    <x v="0"/>
    <x v="4"/>
    <n v="35105"/>
    <n v="10606"/>
    <n v="8"/>
  </r>
  <r>
    <n v="1056"/>
    <x v="55"/>
    <x v="1"/>
    <x v="0"/>
    <n v="47101"/>
    <n v="8157"/>
    <n v="8"/>
  </r>
  <r>
    <n v="1057"/>
    <x v="56"/>
    <x v="1"/>
    <x v="4"/>
    <n v="69323"/>
    <n v="2966"/>
    <n v="6"/>
  </r>
  <r>
    <n v="1058"/>
    <x v="57"/>
    <x v="2"/>
    <x v="0"/>
    <n v="63067"/>
    <n v="11429"/>
    <n v="4"/>
  </r>
  <r>
    <n v="1059"/>
    <x v="58"/>
    <x v="0"/>
    <x v="4"/>
    <n v="54376"/>
    <n v="9541"/>
    <n v="2"/>
  </r>
  <r>
    <n v="1060"/>
    <x v="59"/>
    <x v="2"/>
    <x v="2"/>
    <n v="50587"/>
    <n v="10801"/>
    <n v="2"/>
  </r>
  <r>
    <n v="1061"/>
    <x v="60"/>
    <x v="0"/>
    <x v="4"/>
    <n v="41976"/>
    <n v="7812"/>
    <n v="9"/>
  </r>
  <r>
    <n v="1062"/>
    <x v="61"/>
    <x v="0"/>
    <x v="0"/>
    <n v="72584"/>
    <n v="8694"/>
    <n v="5"/>
  </r>
  <r>
    <n v="1063"/>
    <x v="62"/>
    <x v="2"/>
    <x v="3"/>
    <n v="47533"/>
    <n v="12947"/>
    <n v="4"/>
  </r>
  <r>
    <n v="1064"/>
    <x v="63"/>
    <x v="2"/>
    <x v="4"/>
    <n v="6828"/>
    <n v="8406"/>
    <n v="1"/>
  </r>
  <r>
    <n v="1065"/>
    <x v="64"/>
    <x v="0"/>
    <x v="3"/>
    <n v="6917"/>
    <n v="12761"/>
    <n v="7"/>
  </r>
  <r>
    <n v="1066"/>
    <x v="65"/>
    <x v="3"/>
    <x v="2"/>
    <n v="25618"/>
    <n v="5376"/>
    <n v="3"/>
  </r>
  <r>
    <n v="1067"/>
    <x v="66"/>
    <x v="1"/>
    <x v="1"/>
    <n v="37254"/>
    <n v="7787"/>
    <n v="6"/>
  </r>
  <r>
    <n v="1068"/>
    <x v="67"/>
    <x v="2"/>
    <x v="2"/>
    <n v="52362"/>
    <n v="1392"/>
    <n v="5"/>
  </r>
  <r>
    <n v="1069"/>
    <x v="68"/>
    <x v="1"/>
    <x v="4"/>
    <n v="25128"/>
    <n v="10722"/>
    <n v="5"/>
  </r>
  <r>
    <n v="1070"/>
    <x v="69"/>
    <x v="3"/>
    <x v="3"/>
    <n v="64383"/>
    <n v="11852"/>
    <n v="5"/>
  </r>
  <r>
    <n v="1071"/>
    <x v="70"/>
    <x v="3"/>
    <x v="3"/>
    <n v="70545"/>
    <n v="11068"/>
    <n v="1"/>
  </r>
  <r>
    <n v="1072"/>
    <x v="71"/>
    <x v="3"/>
    <x v="0"/>
    <n v="14865"/>
    <n v="5175"/>
    <n v="1"/>
  </r>
  <r>
    <n v="1073"/>
    <x v="72"/>
    <x v="2"/>
    <x v="3"/>
    <n v="7219"/>
    <n v="2433"/>
    <n v="3"/>
  </r>
  <r>
    <n v="1074"/>
    <x v="73"/>
    <x v="3"/>
    <x v="0"/>
    <n v="44809"/>
    <n v="1880"/>
    <n v="4"/>
  </r>
  <r>
    <n v="1075"/>
    <x v="74"/>
    <x v="2"/>
    <x v="1"/>
    <n v="10287"/>
    <n v="12373"/>
    <n v="5"/>
  </r>
  <r>
    <n v="1076"/>
    <x v="75"/>
    <x v="3"/>
    <x v="4"/>
    <n v="39387"/>
    <n v="1790"/>
    <n v="2"/>
  </r>
  <r>
    <n v="1077"/>
    <x v="76"/>
    <x v="1"/>
    <x v="0"/>
    <n v="13512"/>
    <n v="2140"/>
    <n v="8"/>
  </r>
  <r>
    <n v="1078"/>
    <x v="77"/>
    <x v="1"/>
    <x v="1"/>
    <n v="6342"/>
    <n v="13739"/>
    <n v="2"/>
  </r>
  <r>
    <n v="1079"/>
    <x v="78"/>
    <x v="0"/>
    <x v="3"/>
    <n v="68076"/>
    <n v="7990"/>
    <n v="9"/>
  </r>
  <r>
    <n v="1080"/>
    <x v="79"/>
    <x v="1"/>
    <x v="3"/>
    <n v="24216"/>
    <n v="11374"/>
    <n v="2"/>
  </r>
  <r>
    <n v="1081"/>
    <x v="80"/>
    <x v="0"/>
    <x v="1"/>
    <n v="31614"/>
    <n v="9679"/>
    <n v="9"/>
  </r>
  <r>
    <n v="1082"/>
    <x v="81"/>
    <x v="1"/>
    <x v="3"/>
    <n v="41258"/>
    <n v="1718"/>
    <n v="7"/>
  </r>
  <r>
    <n v="1083"/>
    <x v="82"/>
    <x v="2"/>
    <x v="1"/>
    <n v="47078"/>
    <n v="5516"/>
    <n v="8"/>
  </r>
  <r>
    <n v="1084"/>
    <x v="83"/>
    <x v="1"/>
    <x v="0"/>
    <n v="17219"/>
    <n v="7381"/>
    <n v="2"/>
  </r>
  <r>
    <n v="1085"/>
    <x v="84"/>
    <x v="0"/>
    <x v="0"/>
    <n v="5235"/>
    <n v="10047"/>
    <n v="7"/>
  </r>
  <r>
    <n v="1086"/>
    <x v="85"/>
    <x v="0"/>
    <x v="1"/>
    <n v="47929"/>
    <n v="12957"/>
    <n v="6"/>
  </r>
  <r>
    <n v="1087"/>
    <x v="86"/>
    <x v="3"/>
    <x v="0"/>
    <n v="72444"/>
    <n v="13308"/>
    <n v="4"/>
  </r>
  <r>
    <n v="1088"/>
    <x v="87"/>
    <x v="2"/>
    <x v="0"/>
    <n v="13567"/>
    <n v="14274"/>
    <n v="7"/>
  </r>
  <r>
    <n v="1089"/>
    <x v="88"/>
    <x v="1"/>
    <x v="0"/>
    <n v="75792"/>
    <n v="12827"/>
    <n v="4"/>
  </r>
  <r>
    <n v="1090"/>
    <x v="89"/>
    <x v="3"/>
    <x v="2"/>
    <n v="70441"/>
    <n v="10252"/>
    <n v="2"/>
  </r>
  <r>
    <n v="1091"/>
    <x v="90"/>
    <x v="1"/>
    <x v="4"/>
    <n v="78698"/>
    <n v="10110"/>
    <n v="7"/>
  </r>
  <r>
    <n v="1092"/>
    <x v="91"/>
    <x v="1"/>
    <x v="3"/>
    <n v="10415"/>
    <n v="1454"/>
    <n v="8"/>
  </r>
  <r>
    <n v="1093"/>
    <x v="92"/>
    <x v="3"/>
    <x v="2"/>
    <n v="41159"/>
    <n v="9675"/>
    <n v="2"/>
  </r>
  <r>
    <n v="1094"/>
    <x v="93"/>
    <x v="3"/>
    <x v="0"/>
    <n v="48925"/>
    <n v="7791"/>
    <n v="5"/>
  </r>
  <r>
    <n v="1095"/>
    <x v="94"/>
    <x v="3"/>
    <x v="1"/>
    <n v="10951"/>
    <n v="1474"/>
    <n v="1"/>
  </r>
  <r>
    <n v="1096"/>
    <x v="95"/>
    <x v="3"/>
    <x v="0"/>
    <n v="13007"/>
    <n v="4633"/>
    <n v="7"/>
  </r>
  <r>
    <n v="1097"/>
    <x v="96"/>
    <x v="3"/>
    <x v="4"/>
    <n v="46832"/>
    <n v="5870"/>
    <n v="8"/>
  </r>
  <r>
    <n v="1098"/>
    <x v="97"/>
    <x v="1"/>
    <x v="0"/>
    <n v="63596"/>
    <n v="4472"/>
    <n v="6"/>
  </r>
  <r>
    <n v="1099"/>
    <x v="98"/>
    <x v="3"/>
    <x v="1"/>
    <n v="35523"/>
    <n v="5795"/>
    <n v="5"/>
  </r>
  <r>
    <n v="1100"/>
    <x v="99"/>
    <x v="2"/>
    <x v="4"/>
    <n v="20524"/>
    <n v="14413"/>
    <n v="6"/>
  </r>
  <r>
    <n v="1101"/>
    <x v="100"/>
    <x v="0"/>
    <x v="0"/>
    <n v="24282"/>
    <n v="9605"/>
    <n v="2"/>
  </r>
  <r>
    <n v="1102"/>
    <x v="101"/>
    <x v="3"/>
    <x v="4"/>
    <n v="28930"/>
    <n v="13241"/>
    <n v="1"/>
  </r>
  <r>
    <n v="1103"/>
    <x v="102"/>
    <x v="3"/>
    <x v="3"/>
    <n v="5077"/>
    <n v="8728"/>
    <n v="7"/>
  </r>
  <r>
    <n v="1104"/>
    <x v="103"/>
    <x v="1"/>
    <x v="3"/>
    <n v="25611"/>
    <n v="12079"/>
    <n v="7"/>
  </r>
  <r>
    <n v="1105"/>
    <x v="104"/>
    <x v="3"/>
    <x v="0"/>
    <n v="21984"/>
    <n v="10403"/>
    <n v="2"/>
  </r>
  <r>
    <n v="1106"/>
    <x v="105"/>
    <x v="3"/>
    <x v="4"/>
    <n v="19060"/>
    <n v="3520"/>
    <n v="2"/>
  </r>
  <r>
    <n v="1107"/>
    <x v="106"/>
    <x v="3"/>
    <x v="1"/>
    <n v="48303"/>
    <n v="9487"/>
    <n v="1"/>
  </r>
  <r>
    <n v="1108"/>
    <x v="107"/>
    <x v="1"/>
    <x v="0"/>
    <n v="64207"/>
    <n v="4536"/>
    <n v="8"/>
  </r>
  <r>
    <n v="1109"/>
    <x v="108"/>
    <x v="3"/>
    <x v="3"/>
    <n v="34287"/>
    <n v="5568"/>
    <n v="8"/>
  </r>
  <r>
    <n v="1110"/>
    <x v="109"/>
    <x v="0"/>
    <x v="3"/>
    <n v="44711"/>
    <n v="13380"/>
    <n v="1"/>
  </r>
  <r>
    <n v="1111"/>
    <x v="110"/>
    <x v="1"/>
    <x v="0"/>
    <n v="16954"/>
    <n v="5733"/>
    <n v="8"/>
  </r>
  <r>
    <n v="1112"/>
    <x v="111"/>
    <x v="0"/>
    <x v="4"/>
    <n v="78340"/>
    <n v="11803"/>
    <n v="9"/>
  </r>
  <r>
    <n v="1113"/>
    <x v="112"/>
    <x v="1"/>
    <x v="3"/>
    <n v="77101"/>
    <n v="10016"/>
    <n v="4"/>
  </r>
  <r>
    <n v="1114"/>
    <x v="113"/>
    <x v="3"/>
    <x v="4"/>
    <n v="76520"/>
    <n v="817"/>
    <n v="1"/>
  </r>
  <r>
    <n v="1115"/>
    <x v="114"/>
    <x v="0"/>
    <x v="3"/>
    <n v="23574"/>
    <n v="2896"/>
    <n v="1"/>
  </r>
  <r>
    <n v="1116"/>
    <x v="115"/>
    <x v="1"/>
    <x v="3"/>
    <n v="14184"/>
    <n v="2662"/>
    <n v="3"/>
  </r>
  <r>
    <n v="1117"/>
    <x v="116"/>
    <x v="2"/>
    <x v="2"/>
    <n v="24096"/>
    <n v="3245"/>
    <n v="5"/>
  </r>
  <r>
    <n v="1118"/>
    <x v="117"/>
    <x v="3"/>
    <x v="3"/>
    <n v="72728"/>
    <n v="14134"/>
    <n v="5"/>
  </r>
  <r>
    <n v="1119"/>
    <x v="118"/>
    <x v="1"/>
    <x v="1"/>
    <n v="39016"/>
    <n v="2091"/>
    <n v="9"/>
  </r>
  <r>
    <n v="1120"/>
    <x v="119"/>
    <x v="2"/>
    <x v="0"/>
    <n v="16246"/>
    <n v="11803"/>
    <n v="2"/>
  </r>
  <r>
    <n v="1121"/>
    <x v="120"/>
    <x v="1"/>
    <x v="0"/>
    <n v="50558"/>
    <n v="14677"/>
    <n v="2"/>
  </r>
  <r>
    <n v="1122"/>
    <x v="121"/>
    <x v="2"/>
    <x v="4"/>
    <n v="23381"/>
    <n v="6683"/>
    <n v="6"/>
  </r>
  <r>
    <n v="1123"/>
    <x v="122"/>
    <x v="3"/>
    <x v="3"/>
    <n v="41455"/>
    <n v="4430"/>
    <n v="9"/>
  </r>
  <r>
    <n v="1124"/>
    <x v="123"/>
    <x v="0"/>
    <x v="1"/>
    <n v="9018"/>
    <n v="10688"/>
    <n v="1"/>
  </r>
  <r>
    <n v="1125"/>
    <x v="124"/>
    <x v="2"/>
    <x v="4"/>
    <n v="16302"/>
    <n v="14560"/>
    <n v="9"/>
  </r>
  <r>
    <n v="1126"/>
    <x v="125"/>
    <x v="1"/>
    <x v="2"/>
    <n v="72506"/>
    <n v="1812"/>
    <n v="9"/>
  </r>
  <r>
    <n v="1127"/>
    <x v="126"/>
    <x v="3"/>
    <x v="4"/>
    <n v="46157"/>
    <n v="9977"/>
    <n v="9"/>
  </r>
  <r>
    <n v="1128"/>
    <x v="127"/>
    <x v="2"/>
    <x v="4"/>
    <n v="59917"/>
    <n v="4811"/>
    <n v="5"/>
  </r>
  <r>
    <n v="1129"/>
    <x v="128"/>
    <x v="1"/>
    <x v="3"/>
    <n v="29519"/>
    <n v="7814"/>
    <n v="9"/>
  </r>
  <r>
    <n v="1130"/>
    <x v="129"/>
    <x v="1"/>
    <x v="2"/>
    <n v="61819"/>
    <n v="2883"/>
    <n v="4"/>
  </r>
  <r>
    <n v="1131"/>
    <x v="130"/>
    <x v="1"/>
    <x v="4"/>
    <n v="76324"/>
    <n v="3739"/>
    <n v="2"/>
  </r>
  <r>
    <n v="1132"/>
    <x v="131"/>
    <x v="2"/>
    <x v="1"/>
    <n v="10408"/>
    <n v="2639"/>
    <n v="6"/>
  </r>
  <r>
    <n v="1133"/>
    <x v="132"/>
    <x v="2"/>
    <x v="1"/>
    <n v="64379"/>
    <n v="2204"/>
    <n v="4"/>
  </r>
  <r>
    <n v="1134"/>
    <x v="133"/>
    <x v="2"/>
    <x v="0"/>
    <n v="30053"/>
    <n v="7424"/>
    <n v="6"/>
  </r>
  <r>
    <n v="1135"/>
    <x v="134"/>
    <x v="0"/>
    <x v="2"/>
    <n v="14446"/>
    <n v="862"/>
    <n v="3"/>
  </r>
  <r>
    <n v="1136"/>
    <x v="135"/>
    <x v="2"/>
    <x v="2"/>
    <n v="5922"/>
    <n v="3104"/>
    <n v="6"/>
  </r>
  <r>
    <n v="1137"/>
    <x v="136"/>
    <x v="2"/>
    <x v="0"/>
    <n v="56356"/>
    <n v="10408"/>
    <n v="2"/>
  </r>
  <r>
    <n v="1138"/>
    <x v="137"/>
    <x v="2"/>
    <x v="4"/>
    <n v="15789"/>
    <n v="13981"/>
    <n v="2"/>
  </r>
  <r>
    <n v="1139"/>
    <x v="138"/>
    <x v="0"/>
    <x v="2"/>
    <n v="71656"/>
    <n v="13143"/>
    <n v="9"/>
  </r>
  <r>
    <n v="1140"/>
    <x v="139"/>
    <x v="2"/>
    <x v="1"/>
    <n v="49028"/>
    <n v="4786"/>
    <n v="7"/>
  </r>
  <r>
    <n v="1141"/>
    <x v="140"/>
    <x v="1"/>
    <x v="1"/>
    <n v="69484"/>
    <n v="4238"/>
    <n v="3"/>
  </r>
  <r>
    <n v="1142"/>
    <x v="141"/>
    <x v="2"/>
    <x v="3"/>
    <n v="37154"/>
    <n v="2969"/>
    <n v="1"/>
  </r>
  <r>
    <n v="1143"/>
    <x v="142"/>
    <x v="1"/>
    <x v="2"/>
    <n v="7336"/>
    <n v="5295"/>
    <n v="8"/>
  </r>
  <r>
    <n v="1144"/>
    <x v="143"/>
    <x v="1"/>
    <x v="4"/>
    <n v="72779"/>
    <n v="6650"/>
    <n v="6"/>
  </r>
  <r>
    <n v="1145"/>
    <x v="144"/>
    <x v="1"/>
    <x v="0"/>
    <n v="24029"/>
    <n v="14968"/>
    <n v="7"/>
  </r>
  <r>
    <n v="1146"/>
    <x v="145"/>
    <x v="0"/>
    <x v="0"/>
    <n v="64201"/>
    <n v="1056"/>
    <n v="9"/>
  </r>
  <r>
    <n v="1147"/>
    <x v="146"/>
    <x v="0"/>
    <x v="4"/>
    <n v="37265"/>
    <n v="9517"/>
    <n v="5"/>
  </r>
  <r>
    <n v="1148"/>
    <x v="147"/>
    <x v="0"/>
    <x v="3"/>
    <n v="48872"/>
    <n v="3308"/>
    <n v="1"/>
  </r>
  <r>
    <n v="1149"/>
    <x v="148"/>
    <x v="2"/>
    <x v="0"/>
    <n v="51197"/>
    <n v="5650"/>
    <n v="7"/>
  </r>
  <r>
    <n v="1150"/>
    <x v="149"/>
    <x v="1"/>
    <x v="2"/>
    <n v="60180"/>
    <n v="13213"/>
    <n v="5"/>
  </r>
  <r>
    <n v="1151"/>
    <x v="150"/>
    <x v="0"/>
    <x v="3"/>
    <n v="28710"/>
    <n v="8061"/>
    <n v="3"/>
  </r>
  <r>
    <n v="1152"/>
    <x v="151"/>
    <x v="0"/>
    <x v="2"/>
    <n v="34486"/>
    <n v="3219"/>
    <n v="9"/>
  </r>
  <r>
    <n v="1153"/>
    <x v="152"/>
    <x v="2"/>
    <x v="1"/>
    <n v="76907"/>
    <n v="7006"/>
    <n v="1"/>
  </r>
  <r>
    <n v="1154"/>
    <x v="153"/>
    <x v="0"/>
    <x v="3"/>
    <n v="76895"/>
    <n v="12200"/>
    <n v="1"/>
  </r>
  <r>
    <n v="1155"/>
    <x v="154"/>
    <x v="2"/>
    <x v="0"/>
    <n v="69435"/>
    <n v="4241"/>
    <n v="1"/>
  </r>
  <r>
    <n v="1156"/>
    <x v="155"/>
    <x v="3"/>
    <x v="3"/>
    <n v="45631"/>
    <n v="10266"/>
    <n v="3"/>
  </r>
  <r>
    <n v="1157"/>
    <x v="156"/>
    <x v="0"/>
    <x v="3"/>
    <n v="25103"/>
    <n v="4498"/>
    <n v="6"/>
  </r>
  <r>
    <n v="1158"/>
    <x v="157"/>
    <x v="3"/>
    <x v="3"/>
    <n v="69772"/>
    <n v="10821"/>
    <n v="3"/>
  </r>
  <r>
    <n v="1159"/>
    <x v="158"/>
    <x v="2"/>
    <x v="3"/>
    <n v="19382"/>
    <n v="2903"/>
    <n v="8"/>
  </r>
  <r>
    <n v="1160"/>
    <x v="159"/>
    <x v="1"/>
    <x v="2"/>
    <n v="8756"/>
    <n v="12021"/>
    <n v="2"/>
  </r>
  <r>
    <n v="1161"/>
    <x v="160"/>
    <x v="0"/>
    <x v="1"/>
    <n v="25609"/>
    <n v="9280"/>
    <n v="9"/>
  </r>
  <r>
    <n v="1162"/>
    <x v="161"/>
    <x v="2"/>
    <x v="4"/>
    <n v="21478"/>
    <n v="10704"/>
    <n v="3"/>
  </r>
  <r>
    <n v="1163"/>
    <x v="162"/>
    <x v="1"/>
    <x v="3"/>
    <n v="44666"/>
    <n v="10239"/>
    <n v="5"/>
  </r>
  <r>
    <n v="1164"/>
    <x v="163"/>
    <x v="1"/>
    <x v="0"/>
    <n v="76315"/>
    <n v="794"/>
    <n v="8"/>
  </r>
  <r>
    <n v="1165"/>
    <x v="164"/>
    <x v="3"/>
    <x v="3"/>
    <n v="19153"/>
    <n v="10677"/>
    <n v="2"/>
  </r>
  <r>
    <n v="1166"/>
    <x v="165"/>
    <x v="2"/>
    <x v="0"/>
    <n v="17999"/>
    <n v="5843"/>
    <n v="6"/>
  </r>
  <r>
    <n v="1167"/>
    <x v="166"/>
    <x v="1"/>
    <x v="2"/>
    <n v="60318"/>
    <n v="14336"/>
    <n v="5"/>
  </r>
  <r>
    <n v="1168"/>
    <x v="167"/>
    <x v="0"/>
    <x v="0"/>
    <n v="5814"/>
    <n v="11809"/>
    <n v="9"/>
  </r>
  <r>
    <n v="1169"/>
    <x v="168"/>
    <x v="0"/>
    <x v="4"/>
    <n v="7443"/>
    <n v="10382"/>
    <n v="5"/>
  </r>
  <r>
    <n v="1170"/>
    <x v="169"/>
    <x v="3"/>
    <x v="1"/>
    <n v="78319"/>
    <n v="1636"/>
    <n v="2"/>
  </r>
  <r>
    <n v="1171"/>
    <x v="170"/>
    <x v="1"/>
    <x v="0"/>
    <n v="22368"/>
    <n v="14044"/>
    <n v="5"/>
  </r>
  <r>
    <n v="1172"/>
    <x v="171"/>
    <x v="2"/>
    <x v="0"/>
    <n v="20328"/>
    <n v="2564"/>
    <n v="4"/>
  </r>
  <r>
    <n v="1173"/>
    <x v="172"/>
    <x v="0"/>
    <x v="1"/>
    <n v="61942"/>
    <n v="13147"/>
    <n v="7"/>
  </r>
  <r>
    <n v="1174"/>
    <x v="173"/>
    <x v="1"/>
    <x v="4"/>
    <n v="32306"/>
    <n v="7509"/>
    <n v="6"/>
  </r>
  <r>
    <n v="1175"/>
    <x v="174"/>
    <x v="1"/>
    <x v="3"/>
    <n v="44915"/>
    <n v="13487"/>
    <n v="2"/>
  </r>
  <r>
    <n v="1176"/>
    <x v="175"/>
    <x v="3"/>
    <x v="0"/>
    <n v="42219"/>
    <n v="5043"/>
    <n v="5"/>
  </r>
  <r>
    <n v="1177"/>
    <x v="176"/>
    <x v="0"/>
    <x v="1"/>
    <n v="69644"/>
    <n v="13462"/>
    <n v="7"/>
  </r>
  <r>
    <n v="1178"/>
    <x v="177"/>
    <x v="0"/>
    <x v="2"/>
    <n v="65279"/>
    <n v="1507"/>
    <n v="7"/>
  </r>
  <r>
    <n v="1179"/>
    <x v="178"/>
    <x v="2"/>
    <x v="1"/>
    <n v="58028"/>
    <n v="5945"/>
    <n v="5"/>
  </r>
  <r>
    <n v="1180"/>
    <x v="179"/>
    <x v="0"/>
    <x v="2"/>
    <n v="5126"/>
    <n v="11206"/>
    <n v="9"/>
  </r>
  <r>
    <n v="1181"/>
    <x v="180"/>
    <x v="2"/>
    <x v="4"/>
    <n v="57329"/>
    <n v="12218"/>
    <n v="4"/>
  </r>
  <r>
    <n v="1182"/>
    <x v="181"/>
    <x v="0"/>
    <x v="3"/>
    <n v="32632"/>
    <n v="13373"/>
    <n v="3"/>
  </r>
  <r>
    <n v="1183"/>
    <x v="182"/>
    <x v="3"/>
    <x v="1"/>
    <n v="70310"/>
    <n v="5852"/>
    <n v="4"/>
  </r>
  <r>
    <n v="1184"/>
    <x v="183"/>
    <x v="0"/>
    <x v="0"/>
    <n v="60176"/>
    <n v="9939"/>
    <n v="5"/>
  </r>
  <r>
    <n v="1185"/>
    <x v="184"/>
    <x v="2"/>
    <x v="4"/>
    <n v="49327"/>
    <n v="13781"/>
    <n v="6"/>
  </r>
  <r>
    <n v="1186"/>
    <x v="185"/>
    <x v="2"/>
    <x v="1"/>
    <n v="73904"/>
    <n v="12594"/>
    <n v="3"/>
  </r>
  <r>
    <n v="1187"/>
    <x v="186"/>
    <x v="3"/>
    <x v="0"/>
    <n v="8797"/>
    <n v="1935"/>
    <n v="2"/>
  </r>
  <r>
    <n v="1188"/>
    <x v="187"/>
    <x v="0"/>
    <x v="1"/>
    <n v="52882"/>
    <n v="1071"/>
    <n v="4"/>
  </r>
  <r>
    <n v="1189"/>
    <x v="188"/>
    <x v="0"/>
    <x v="2"/>
    <n v="18718"/>
    <n v="2882"/>
    <n v="5"/>
  </r>
  <r>
    <n v="1190"/>
    <x v="189"/>
    <x v="3"/>
    <x v="1"/>
    <n v="39560"/>
    <n v="9937"/>
    <n v="4"/>
  </r>
  <r>
    <n v="1191"/>
    <x v="190"/>
    <x v="0"/>
    <x v="1"/>
    <n v="27116"/>
    <n v="10776"/>
    <n v="3"/>
  </r>
  <r>
    <n v="1192"/>
    <x v="191"/>
    <x v="0"/>
    <x v="1"/>
    <n v="41244"/>
    <n v="5584"/>
    <n v="8"/>
  </r>
  <r>
    <n v="1193"/>
    <x v="192"/>
    <x v="2"/>
    <x v="4"/>
    <n v="6645"/>
    <n v="777"/>
    <n v="4"/>
  </r>
  <r>
    <n v="1194"/>
    <x v="193"/>
    <x v="0"/>
    <x v="1"/>
    <n v="52523"/>
    <n v="14007"/>
    <n v="2"/>
  </r>
  <r>
    <n v="1195"/>
    <x v="194"/>
    <x v="0"/>
    <x v="0"/>
    <n v="24256"/>
    <n v="7559"/>
    <n v="2"/>
  </r>
  <r>
    <n v="1196"/>
    <x v="195"/>
    <x v="3"/>
    <x v="2"/>
    <n v="58173"/>
    <n v="2387"/>
    <n v="1"/>
  </r>
  <r>
    <n v="1197"/>
    <x v="196"/>
    <x v="3"/>
    <x v="2"/>
    <n v="42430"/>
    <n v="13271"/>
    <n v="4"/>
  </r>
  <r>
    <n v="1198"/>
    <x v="197"/>
    <x v="1"/>
    <x v="1"/>
    <n v="44282"/>
    <n v="1765"/>
    <n v="9"/>
  </r>
  <r>
    <n v="1199"/>
    <x v="198"/>
    <x v="2"/>
    <x v="4"/>
    <n v="68374"/>
    <n v="7991"/>
    <n v="7"/>
  </r>
  <r>
    <n v="1200"/>
    <x v="199"/>
    <x v="0"/>
    <x v="4"/>
    <n v="73244"/>
    <n v="13518"/>
    <n v="7"/>
  </r>
  <r>
    <n v="1201"/>
    <x v="200"/>
    <x v="0"/>
    <x v="0"/>
    <n v="16694"/>
    <n v="1540"/>
    <n v="7"/>
  </r>
  <r>
    <n v="1202"/>
    <x v="201"/>
    <x v="1"/>
    <x v="1"/>
    <n v="61264"/>
    <n v="9609"/>
    <n v="8"/>
  </r>
  <r>
    <n v="1203"/>
    <x v="202"/>
    <x v="0"/>
    <x v="2"/>
    <n v="62545"/>
    <n v="8573"/>
    <n v="1"/>
  </r>
  <r>
    <n v="1204"/>
    <x v="203"/>
    <x v="2"/>
    <x v="4"/>
    <n v="44224"/>
    <n v="9577"/>
    <n v="8"/>
  </r>
  <r>
    <n v="1205"/>
    <x v="204"/>
    <x v="1"/>
    <x v="1"/>
    <n v="18224"/>
    <n v="3252"/>
    <n v="4"/>
  </r>
  <r>
    <n v="1206"/>
    <x v="205"/>
    <x v="2"/>
    <x v="4"/>
    <n v="45738"/>
    <n v="8713"/>
    <n v="4"/>
  </r>
  <r>
    <n v="1207"/>
    <x v="206"/>
    <x v="1"/>
    <x v="4"/>
    <n v="30150"/>
    <n v="5069"/>
    <n v="4"/>
  </r>
  <r>
    <n v="1208"/>
    <x v="207"/>
    <x v="1"/>
    <x v="2"/>
    <n v="68731"/>
    <n v="11883"/>
    <n v="6"/>
  </r>
  <r>
    <n v="1209"/>
    <x v="208"/>
    <x v="3"/>
    <x v="3"/>
    <n v="54688"/>
    <n v="6853"/>
    <n v="7"/>
  </r>
  <r>
    <n v="1210"/>
    <x v="209"/>
    <x v="2"/>
    <x v="0"/>
    <n v="78509"/>
    <n v="2853"/>
    <n v="6"/>
  </r>
  <r>
    <n v="1211"/>
    <x v="210"/>
    <x v="0"/>
    <x v="0"/>
    <n v="13577"/>
    <n v="7937"/>
    <n v="1"/>
  </r>
  <r>
    <n v="1212"/>
    <x v="211"/>
    <x v="0"/>
    <x v="2"/>
    <n v="13070"/>
    <n v="5299"/>
    <n v="8"/>
  </r>
  <r>
    <n v="1213"/>
    <x v="212"/>
    <x v="2"/>
    <x v="4"/>
    <n v="13666"/>
    <n v="1186"/>
    <n v="7"/>
  </r>
  <r>
    <n v="1214"/>
    <x v="213"/>
    <x v="0"/>
    <x v="1"/>
    <n v="62761"/>
    <n v="8976"/>
    <n v="6"/>
  </r>
  <r>
    <n v="1215"/>
    <x v="214"/>
    <x v="0"/>
    <x v="4"/>
    <n v="41368"/>
    <n v="5311"/>
    <n v="6"/>
  </r>
  <r>
    <n v="1216"/>
    <x v="215"/>
    <x v="2"/>
    <x v="2"/>
    <n v="11783"/>
    <n v="12439"/>
    <n v="5"/>
  </r>
  <r>
    <n v="1217"/>
    <x v="216"/>
    <x v="1"/>
    <x v="0"/>
    <n v="46914"/>
    <n v="9454"/>
    <n v="6"/>
  </r>
  <r>
    <n v="1218"/>
    <x v="217"/>
    <x v="2"/>
    <x v="4"/>
    <n v="75507"/>
    <n v="5846"/>
    <n v="9"/>
  </r>
  <r>
    <n v="1219"/>
    <x v="218"/>
    <x v="1"/>
    <x v="0"/>
    <n v="72526"/>
    <n v="5543"/>
    <n v="9"/>
  </r>
  <r>
    <n v="1220"/>
    <x v="219"/>
    <x v="0"/>
    <x v="1"/>
    <n v="75835"/>
    <n v="2928"/>
    <n v="8"/>
  </r>
  <r>
    <n v="1221"/>
    <x v="220"/>
    <x v="0"/>
    <x v="0"/>
    <n v="50765"/>
    <n v="11199"/>
    <n v="9"/>
  </r>
  <r>
    <n v="1222"/>
    <x v="221"/>
    <x v="0"/>
    <x v="0"/>
    <n v="24956"/>
    <n v="5626"/>
    <n v="8"/>
  </r>
  <r>
    <n v="1223"/>
    <x v="222"/>
    <x v="3"/>
    <x v="3"/>
    <n v="51240"/>
    <n v="8720"/>
    <n v="8"/>
  </r>
  <r>
    <n v="1224"/>
    <x v="223"/>
    <x v="1"/>
    <x v="3"/>
    <n v="42148"/>
    <n v="9598"/>
    <n v="1"/>
  </r>
  <r>
    <n v="1225"/>
    <x v="224"/>
    <x v="3"/>
    <x v="3"/>
    <n v="9757"/>
    <n v="11796"/>
    <n v="5"/>
  </r>
  <r>
    <n v="1226"/>
    <x v="225"/>
    <x v="3"/>
    <x v="0"/>
    <n v="24097"/>
    <n v="8313"/>
    <n v="4"/>
  </r>
  <r>
    <n v="1227"/>
    <x v="226"/>
    <x v="2"/>
    <x v="2"/>
    <n v="15395"/>
    <n v="14914"/>
    <n v="2"/>
  </r>
  <r>
    <n v="1228"/>
    <x v="227"/>
    <x v="3"/>
    <x v="0"/>
    <n v="21241"/>
    <n v="12691"/>
    <n v="8"/>
  </r>
  <r>
    <n v="1229"/>
    <x v="228"/>
    <x v="2"/>
    <x v="2"/>
    <n v="32696"/>
    <n v="11686"/>
    <n v="3"/>
  </r>
  <r>
    <n v="1230"/>
    <x v="229"/>
    <x v="2"/>
    <x v="2"/>
    <n v="75480"/>
    <n v="11198"/>
    <n v="4"/>
  </r>
  <r>
    <n v="1231"/>
    <x v="230"/>
    <x v="3"/>
    <x v="3"/>
    <n v="51163"/>
    <n v="13357"/>
    <n v="7"/>
  </r>
  <r>
    <n v="1232"/>
    <x v="231"/>
    <x v="1"/>
    <x v="4"/>
    <n v="24816"/>
    <n v="14794"/>
    <n v="9"/>
  </r>
  <r>
    <n v="1233"/>
    <x v="232"/>
    <x v="1"/>
    <x v="1"/>
    <n v="54840"/>
    <n v="12301"/>
    <n v="2"/>
  </r>
  <r>
    <n v="1234"/>
    <x v="233"/>
    <x v="1"/>
    <x v="3"/>
    <n v="57853"/>
    <n v="12245"/>
    <n v="3"/>
  </r>
  <r>
    <n v="1235"/>
    <x v="234"/>
    <x v="1"/>
    <x v="3"/>
    <n v="29917"/>
    <n v="10145"/>
    <n v="4"/>
  </r>
  <r>
    <n v="1236"/>
    <x v="235"/>
    <x v="1"/>
    <x v="4"/>
    <n v="26566"/>
    <n v="13525"/>
    <n v="1"/>
  </r>
  <r>
    <n v="1237"/>
    <x v="236"/>
    <x v="3"/>
    <x v="1"/>
    <n v="67823"/>
    <n v="3856"/>
    <n v="7"/>
  </r>
  <r>
    <n v="1238"/>
    <x v="237"/>
    <x v="3"/>
    <x v="0"/>
    <n v="25806"/>
    <n v="9207"/>
    <n v="2"/>
  </r>
  <r>
    <n v="1239"/>
    <x v="238"/>
    <x v="0"/>
    <x v="0"/>
    <n v="6759"/>
    <n v="14788"/>
    <n v="5"/>
  </r>
  <r>
    <n v="1240"/>
    <x v="239"/>
    <x v="1"/>
    <x v="3"/>
    <n v="46949"/>
    <n v="7766"/>
    <n v="1"/>
  </r>
  <r>
    <n v="1241"/>
    <x v="240"/>
    <x v="3"/>
    <x v="1"/>
    <n v="7482"/>
    <n v="7040"/>
    <n v="3"/>
  </r>
  <r>
    <n v="1242"/>
    <x v="241"/>
    <x v="0"/>
    <x v="3"/>
    <n v="29442"/>
    <n v="538"/>
    <n v="2"/>
  </r>
  <r>
    <n v="1243"/>
    <x v="242"/>
    <x v="1"/>
    <x v="2"/>
    <n v="38719"/>
    <n v="3842"/>
    <n v="1"/>
  </r>
  <r>
    <n v="1244"/>
    <x v="243"/>
    <x v="2"/>
    <x v="3"/>
    <n v="63066"/>
    <n v="9578"/>
    <n v="7"/>
  </r>
  <r>
    <n v="1245"/>
    <x v="244"/>
    <x v="0"/>
    <x v="3"/>
    <n v="7079"/>
    <n v="3344"/>
    <n v="5"/>
  </r>
  <r>
    <n v="1246"/>
    <x v="245"/>
    <x v="3"/>
    <x v="0"/>
    <n v="7717"/>
    <n v="10896"/>
    <n v="1"/>
  </r>
  <r>
    <n v="1247"/>
    <x v="246"/>
    <x v="2"/>
    <x v="0"/>
    <n v="64676"/>
    <n v="1598"/>
    <n v="6"/>
  </r>
  <r>
    <n v="1248"/>
    <x v="247"/>
    <x v="2"/>
    <x v="0"/>
    <n v="32952"/>
    <n v="7527"/>
    <n v="5"/>
  </r>
  <r>
    <n v="1249"/>
    <x v="248"/>
    <x v="2"/>
    <x v="2"/>
    <n v="47460"/>
    <n v="2323"/>
    <n v="3"/>
  </r>
  <r>
    <n v="1250"/>
    <x v="249"/>
    <x v="0"/>
    <x v="0"/>
    <n v="77847"/>
    <n v="11893"/>
    <n v="7"/>
  </r>
  <r>
    <n v="1251"/>
    <x v="250"/>
    <x v="3"/>
    <x v="1"/>
    <n v="23449"/>
    <n v="14498"/>
    <n v="9"/>
  </r>
  <r>
    <n v="1252"/>
    <x v="251"/>
    <x v="2"/>
    <x v="4"/>
    <n v="38536"/>
    <n v="13761"/>
    <n v="9"/>
  </r>
  <r>
    <n v="1253"/>
    <x v="252"/>
    <x v="1"/>
    <x v="1"/>
    <n v="69077"/>
    <n v="3655"/>
    <n v="9"/>
  </r>
  <r>
    <n v="1254"/>
    <x v="253"/>
    <x v="2"/>
    <x v="1"/>
    <n v="43258"/>
    <n v="3593"/>
    <n v="2"/>
  </r>
  <r>
    <n v="1255"/>
    <x v="254"/>
    <x v="2"/>
    <x v="0"/>
    <n v="53302"/>
    <n v="12222"/>
    <n v="3"/>
  </r>
  <r>
    <n v="1256"/>
    <x v="255"/>
    <x v="0"/>
    <x v="4"/>
    <n v="33865"/>
    <n v="6158"/>
    <n v="7"/>
  </r>
  <r>
    <n v="1257"/>
    <x v="256"/>
    <x v="0"/>
    <x v="4"/>
    <n v="11645"/>
    <n v="4278"/>
    <n v="5"/>
  </r>
  <r>
    <n v="1258"/>
    <x v="257"/>
    <x v="3"/>
    <x v="4"/>
    <n v="43000"/>
    <n v="3396"/>
    <n v="2"/>
  </r>
  <r>
    <n v="1259"/>
    <x v="258"/>
    <x v="1"/>
    <x v="2"/>
    <n v="31737"/>
    <n v="12145"/>
    <n v="3"/>
  </r>
  <r>
    <n v="1260"/>
    <x v="259"/>
    <x v="0"/>
    <x v="0"/>
    <n v="16485"/>
    <n v="12203"/>
    <n v="6"/>
  </r>
  <r>
    <n v="1261"/>
    <x v="260"/>
    <x v="2"/>
    <x v="4"/>
    <n v="43565"/>
    <n v="1488"/>
    <n v="7"/>
  </r>
  <r>
    <n v="1262"/>
    <x v="261"/>
    <x v="3"/>
    <x v="2"/>
    <n v="30522"/>
    <n v="4616"/>
    <n v="9"/>
  </r>
  <r>
    <n v="1263"/>
    <x v="262"/>
    <x v="2"/>
    <x v="3"/>
    <n v="70155"/>
    <n v="6946"/>
    <n v="1"/>
  </r>
  <r>
    <n v="1264"/>
    <x v="263"/>
    <x v="2"/>
    <x v="3"/>
    <n v="60168"/>
    <n v="13656"/>
    <n v="7"/>
  </r>
  <r>
    <n v="1265"/>
    <x v="264"/>
    <x v="0"/>
    <x v="2"/>
    <n v="57487"/>
    <n v="12718"/>
    <n v="8"/>
  </r>
  <r>
    <n v="1266"/>
    <x v="265"/>
    <x v="3"/>
    <x v="2"/>
    <n v="17342"/>
    <n v="4679"/>
    <n v="3"/>
  </r>
  <r>
    <n v="1267"/>
    <x v="266"/>
    <x v="1"/>
    <x v="0"/>
    <n v="45806"/>
    <n v="2182"/>
    <n v="4"/>
  </r>
  <r>
    <n v="1268"/>
    <x v="267"/>
    <x v="1"/>
    <x v="0"/>
    <n v="53770"/>
    <n v="14764"/>
    <n v="6"/>
  </r>
  <r>
    <n v="1269"/>
    <x v="268"/>
    <x v="0"/>
    <x v="3"/>
    <n v="57603"/>
    <n v="14198"/>
    <n v="7"/>
  </r>
  <r>
    <n v="1270"/>
    <x v="269"/>
    <x v="0"/>
    <x v="4"/>
    <n v="31399"/>
    <n v="6126"/>
    <n v="4"/>
  </r>
  <r>
    <n v="1271"/>
    <x v="270"/>
    <x v="3"/>
    <x v="3"/>
    <n v="60106"/>
    <n v="7924"/>
    <n v="8"/>
  </r>
  <r>
    <n v="1272"/>
    <x v="271"/>
    <x v="1"/>
    <x v="4"/>
    <n v="35678"/>
    <n v="13357"/>
    <n v="5"/>
  </r>
  <r>
    <n v="1273"/>
    <x v="272"/>
    <x v="1"/>
    <x v="4"/>
    <n v="68230"/>
    <n v="12655"/>
    <n v="1"/>
  </r>
  <r>
    <n v="1274"/>
    <x v="273"/>
    <x v="1"/>
    <x v="0"/>
    <n v="79055"/>
    <n v="1433"/>
    <n v="4"/>
  </r>
  <r>
    <n v="1275"/>
    <x v="274"/>
    <x v="2"/>
    <x v="1"/>
    <n v="61373"/>
    <n v="4098"/>
    <n v="3"/>
  </r>
  <r>
    <n v="1276"/>
    <x v="275"/>
    <x v="1"/>
    <x v="1"/>
    <n v="36480"/>
    <n v="11925"/>
    <n v="9"/>
  </r>
  <r>
    <n v="1277"/>
    <x v="276"/>
    <x v="2"/>
    <x v="2"/>
    <n v="73836"/>
    <n v="2480"/>
    <n v="8"/>
  </r>
  <r>
    <n v="1278"/>
    <x v="277"/>
    <x v="3"/>
    <x v="0"/>
    <n v="77258"/>
    <n v="10547"/>
    <n v="1"/>
  </r>
  <r>
    <n v="1279"/>
    <x v="278"/>
    <x v="2"/>
    <x v="4"/>
    <n v="44986"/>
    <n v="3556"/>
    <n v="6"/>
  </r>
  <r>
    <n v="1280"/>
    <x v="279"/>
    <x v="3"/>
    <x v="1"/>
    <n v="29160"/>
    <n v="9484"/>
    <n v="9"/>
  </r>
  <r>
    <n v="1281"/>
    <x v="280"/>
    <x v="1"/>
    <x v="4"/>
    <n v="69929"/>
    <n v="1291"/>
    <n v="7"/>
  </r>
  <r>
    <n v="1282"/>
    <x v="281"/>
    <x v="1"/>
    <x v="1"/>
    <n v="78506"/>
    <n v="10501"/>
    <n v="4"/>
  </r>
  <r>
    <n v="1283"/>
    <x v="282"/>
    <x v="3"/>
    <x v="1"/>
    <n v="39911"/>
    <n v="5890"/>
    <n v="1"/>
  </r>
  <r>
    <n v="1284"/>
    <x v="283"/>
    <x v="0"/>
    <x v="1"/>
    <n v="36821"/>
    <n v="7135"/>
    <n v="2"/>
  </r>
  <r>
    <n v="1285"/>
    <x v="284"/>
    <x v="3"/>
    <x v="0"/>
    <n v="65535"/>
    <n v="2755"/>
    <n v="5"/>
  </r>
  <r>
    <n v="1286"/>
    <x v="285"/>
    <x v="0"/>
    <x v="3"/>
    <n v="17175"/>
    <n v="4110"/>
    <n v="5"/>
  </r>
  <r>
    <n v="1287"/>
    <x v="286"/>
    <x v="2"/>
    <x v="4"/>
    <n v="59771"/>
    <n v="2107"/>
    <n v="8"/>
  </r>
  <r>
    <n v="1288"/>
    <x v="287"/>
    <x v="2"/>
    <x v="0"/>
    <n v="71358"/>
    <n v="5679"/>
    <n v="6"/>
  </r>
  <r>
    <n v="1289"/>
    <x v="288"/>
    <x v="2"/>
    <x v="0"/>
    <n v="22327"/>
    <n v="7073"/>
    <n v="8"/>
  </r>
  <r>
    <n v="1290"/>
    <x v="289"/>
    <x v="1"/>
    <x v="0"/>
    <n v="52057"/>
    <n v="1484"/>
    <n v="2"/>
  </r>
  <r>
    <n v="1291"/>
    <x v="290"/>
    <x v="2"/>
    <x v="0"/>
    <n v="11150"/>
    <n v="6276"/>
    <n v="3"/>
  </r>
  <r>
    <n v="1292"/>
    <x v="291"/>
    <x v="0"/>
    <x v="0"/>
    <n v="9425"/>
    <n v="4176"/>
    <n v="6"/>
  </r>
  <r>
    <n v="1293"/>
    <x v="292"/>
    <x v="2"/>
    <x v="2"/>
    <n v="21032"/>
    <n v="3880"/>
    <n v="3"/>
  </r>
  <r>
    <n v="1294"/>
    <x v="293"/>
    <x v="3"/>
    <x v="4"/>
    <n v="7198"/>
    <n v="9211"/>
    <n v="6"/>
  </r>
  <r>
    <n v="1295"/>
    <x v="294"/>
    <x v="3"/>
    <x v="0"/>
    <n v="65500"/>
    <n v="9282"/>
    <n v="6"/>
  </r>
  <r>
    <n v="1296"/>
    <x v="295"/>
    <x v="1"/>
    <x v="4"/>
    <n v="58394"/>
    <n v="1550"/>
    <n v="2"/>
  </r>
  <r>
    <n v="1297"/>
    <x v="296"/>
    <x v="3"/>
    <x v="2"/>
    <n v="25079"/>
    <n v="14497"/>
    <n v="7"/>
  </r>
  <r>
    <n v="1298"/>
    <x v="297"/>
    <x v="0"/>
    <x v="2"/>
    <n v="41220"/>
    <n v="4133"/>
    <n v="2"/>
  </r>
  <r>
    <n v="1299"/>
    <x v="298"/>
    <x v="2"/>
    <x v="4"/>
    <n v="46874"/>
    <n v="14823"/>
    <n v="6"/>
  </r>
  <r>
    <n v="1300"/>
    <x v="299"/>
    <x v="1"/>
    <x v="1"/>
    <n v="18859"/>
    <n v="6842"/>
    <n v="1"/>
  </r>
  <r>
    <n v="1301"/>
    <x v="300"/>
    <x v="2"/>
    <x v="3"/>
    <n v="55460"/>
    <n v="13136"/>
    <n v="3"/>
  </r>
  <r>
    <n v="1302"/>
    <x v="301"/>
    <x v="2"/>
    <x v="1"/>
    <n v="36419"/>
    <n v="1459"/>
    <n v="2"/>
  </r>
  <r>
    <n v="1303"/>
    <x v="302"/>
    <x v="0"/>
    <x v="1"/>
    <n v="13705"/>
    <n v="6559"/>
    <n v="7"/>
  </r>
  <r>
    <n v="1304"/>
    <x v="303"/>
    <x v="3"/>
    <x v="1"/>
    <n v="47880"/>
    <n v="9384"/>
    <n v="4"/>
  </r>
  <r>
    <n v="1305"/>
    <x v="304"/>
    <x v="3"/>
    <x v="0"/>
    <n v="28236"/>
    <n v="6155"/>
    <n v="8"/>
  </r>
  <r>
    <n v="1306"/>
    <x v="305"/>
    <x v="2"/>
    <x v="2"/>
    <n v="20358"/>
    <n v="12591"/>
    <n v="6"/>
  </r>
  <r>
    <n v="1307"/>
    <x v="306"/>
    <x v="1"/>
    <x v="1"/>
    <n v="19596"/>
    <n v="4973"/>
    <n v="4"/>
  </r>
  <r>
    <n v="1308"/>
    <x v="307"/>
    <x v="3"/>
    <x v="2"/>
    <n v="38572"/>
    <n v="3446"/>
    <n v="5"/>
  </r>
  <r>
    <n v="1309"/>
    <x v="308"/>
    <x v="1"/>
    <x v="4"/>
    <n v="6279"/>
    <n v="8225"/>
    <n v="9"/>
  </r>
  <r>
    <n v="1310"/>
    <x v="309"/>
    <x v="3"/>
    <x v="3"/>
    <n v="68197"/>
    <n v="1026"/>
    <n v="7"/>
  </r>
  <r>
    <n v="1311"/>
    <x v="310"/>
    <x v="1"/>
    <x v="4"/>
    <n v="67516"/>
    <n v="3724"/>
    <n v="9"/>
  </r>
  <r>
    <n v="1312"/>
    <x v="311"/>
    <x v="0"/>
    <x v="4"/>
    <n v="12083"/>
    <n v="10945"/>
    <n v="7"/>
  </r>
  <r>
    <n v="1313"/>
    <x v="312"/>
    <x v="1"/>
    <x v="0"/>
    <n v="22771"/>
    <n v="12036"/>
    <n v="1"/>
  </r>
  <r>
    <n v="1314"/>
    <x v="313"/>
    <x v="0"/>
    <x v="3"/>
    <n v="34975"/>
    <n v="12657"/>
    <n v="8"/>
  </r>
  <r>
    <n v="1315"/>
    <x v="314"/>
    <x v="0"/>
    <x v="4"/>
    <n v="50648"/>
    <n v="14047"/>
    <n v="4"/>
  </r>
  <r>
    <n v="1316"/>
    <x v="315"/>
    <x v="1"/>
    <x v="4"/>
    <n v="53285"/>
    <n v="2375"/>
    <n v="3"/>
  </r>
  <r>
    <n v="1317"/>
    <x v="316"/>
    <x v="0"/>
    <x v="3"/>
    <n v="24063"/>
    <n v="2263"/>
    <n v="7"/>
  </r>
  <r>
    <n v="1318"/>
    <x v="317"/>
    <x v="2"/>
    <x v="3"/>
    <n v="72642"/>
    <n v="9212"/>
    <n v="3"/>
  </r>
  <r>
    <n v="1319"/>
    <x v="318"/>
    <x v="0"/>
    <x v="4"/>
    <n v="42599"/>
    <n v="6297"/>
    <n v="8"/>
  </r>
  <r>
    <n v="1320"/>
    <x v="319"/>
    <x v="3"/>
    <x v="3"/>
    <n v="56920"/>
    <n v="9708"/>
    <n v="6"/>
  </r>
  <r>
    <n v="1321"/>
    <x v="320"/>
    <x v="1"/>
    <x v="4"/>
    <n v="33529"/>
    <n v="7599"/>
    <n v="5"/>
  </r>
  <r>
    <n v="1322"/>
    <x v="321"/>
    <x v="2"/>
    <x v="4"/>
    <n v="40954"/>
    <n v="5609"/>
    <n v="4"/>
  </r>
  <r>
    <n v="1323"/>
    <x v="322"/>
    <x v="1"/>
    <x v="0"/>
    <n v="32856"/>
    <n v="7144"/>
    <n v="8"/>
  </r>
  <r>
    <n v="1324"/>
    <x v="323"/>
    <x v="3"/>
    <x v="1"/>
    <n v="7573"/>
    <n v="616"/>
    <n v="8"/>
  </r>
  <r>
    <n v="1325"/>
    <x v="324"/>
    <x v="3"/>
    <x v="4"/>
    <n v="40367"/>
    <n v="2933"/>
    <n v="1"/>
  </r>
  <r>
    <n v="1326"/>
    <x v="325"/>
    <x v="3"/>
    <x v="2"/>
    <n v="65774"/>
    <n v="5963"/>
    <n v="9"/>
  </r>
  <r>
    <n v="1327"/>
    <x v="326"/>
    <x v="0"/>
    <x v="1"/>
    <n v="28752"/>
    <n v="1083"/>
    <n v="5"/>
  </r>
  <r>
    <n v="1328"/>
    <x v="327"/>
    <x v="0"/>
    <x v="1"/>
    <n v="60029"/>
    <n v="9086"/>
    <n v="4"/>
  </r>
  <r>
    <n v="1329"/>
    <x v="328"/>
    <x v="1"/>
    <x v="1"/>
    <n v="22685"/>
    <n v="13875"/>
    <n v="6"/>
  </r>
  <r>
    <n v="1330"/>
    <x v="329"/>
    <x v="1"/>
    <x v="0"/>
    <n v="56693"/>
    <n v="4288"/>
    <n v="6"/>
  </r>
  <r>
    <n v="1331"/>
    <x v="330"/>
    <x v="2"/>
    <x v="4"/>
    <n v="60961"/>
    <n v="11460"/>
    <n v="2"/>
  </r>
  <r>
    <n v="1332"/>
    <x v="331"/>
    <x v="2"/>
    <x v="0"/>
    <n v="79532"/>
    <n v="4667"/>
    <n v="8"/>
  </r>
  <r>
    <n v="1333"/>
    <x v="332"/>
    <x v="1"/>
    <x v="4"/>
    <n v="61133"/>
    <n v="12552"/>
    <n v="7"/>
  </r>
  <r>
    <n v="1334"/>
    <x v="333"/>
    <x v="0"/>
    <x v="0"/>
    <n v="66268"/>
    <n v="8965"/>
    <n v="1"/>
  </r>
  <r>
    <n v="1335"/>
    <x v="334"/>
    <x v="3"/>
    <x v="0"/>
    <n v="43243"/>
    <n v="10705"/>
    <n v="5"/>
  </r>
  <r>
    <n v="1336"/>
    <x v="335"/>
    <x v="1"/>
    <x v="2"/>
    <n v="62384"/>
    <n v="14131"/>
    <n v="6"/>
  </r>
  <r>
    <n v="1337"/>
    <x v="336"/>
    <x v="2"/>
    <x v="0"/>
    <n v="36653"/>
    <n v="13125"/>
    <n v="4"/>
  </r>
  <r>
    <n v="1338"/>
    <x v="337"/>
    <x v="0"/>
    <x v="3"/>
    <n v="31657"/>
    <n v="1889"/>
    <n v="2"/>
  </r>
  <r>
    <n v="1339"/>
    <x v="338"/>
    <x v="1"/>
    <x v="2"/>
    <n v="44952"/>
    <n v="12258"/>
    <n v="4"/>
  </r>
  <r>
    <n v="1340"/>
    <x v="339"/>
    <x v="1"/>
    <x v="0"/>
    <n v="27180"/>
    <n v="13394"/>
    <n v="1"/>
  </r>
  <r>
    <n v="1341"/>
    <x v="340"/>
    <x v="0"/>
    <x v="1"/>
    <n v="6622"/>
    <n v="8857"/>
    <n v="7"/>
  </r>
  <r>
    <n v="1342"/>
    <x v="341"/>
    <x v="1"/>
    <x v="3"/>
    <n v="53756"/>
    <n v="10259"/>
    <n v="2"/>
  </r>
  <r>
    <n v="1343"/>
    <x v="342"/>
    <x v="0"/>
    <x v="3"/>
    <n v="45809"/>
    <n v="6654"/>
    <n v="2"/>
  </r>
  <r>
    <n v="1344"/>
    <x v="343"/>
    <x v="3"/>
    <x v="3"/>
    <n v="21725"/>
    <n v="5920"/>
    <n v="9"/>
  </r>
  <r>
    <n v="1345"/>
    <x v="344"/>
    <x v="0"/>
    <x v="2"/>
    <n v="66396"/>
    <n v="9420"/>
    <n v="5"/>
  </r>
  <r>
    <n v="1346"/>
    <x v="345"/>
    <x v="0"/>
    <x v="0"/>
    <n v="56226"/>
    <n v="2543"/>
    <n v="2"/>
  </r>
  <r>
    <n v="1347"/>
    <x v="346"/>
    <x v="0"/>
    <x v="0"/>
    <n v="34402"/>
    <n v="4697"/>
    <n v="9"/>
  </r>
  <r>
    <n v="1348"/>
    <x v="347"/>
    <x v="1"/>
    <x v="1"/>
    <n v="9263"/>
    <n v="3996"/>
    <n v="9"/>
  </r>
  <r>
    <n v="1349"/>
    <x v="348"/>
    <x v="1"/>
    <x v="1"/>
    <n v="51828"/>
    <n v="14203"/>
    <n v="1"/>
  </r>
  <r>
    <n v="1350"/>
    <x v="349"/>
    <x v="0"/>
    <x v="3"/>
    <n v="52924"/>
    <n v="1278"/>
    <n v="3"/>
  </r>
  <r>
    <n v="1351"/>
    <x v="350"/>
    <x v="1"/>
    <x v="1"/>
    <n v="79182"/>
    <n v="713"/>
    <n v="4"/>
  </r>
  <r>
    <n v="1352"/>
    <x v="351"/>
    <x v="2"/>
    <x v="2"/>
    <n v="64052"/>
    <n v="4262"/>
    <n v="7"/>
  </r>
  <r>
    <n v="1353"/>
    <x v="352"/>
    <x v="2"/>
    <x v="0"/>
    <n v="16664"/>
    <n v="13899"/>
    <n v="4"/>
  </r>
  <r>
    <n v="1354"/>
    <x v="353"/>
    <x v="1"/>
    <x v="3"/>
    <n v="40737"/>
    <n v="10268"/>
    <n v="2"/>
  </r>
  <r>
    <n v="1355"/>
    <x v="354"/>
    <x v="1"/>
    <x v="1"/>
    <n v="34373"/>
    <n v="11140"/>
    <n v="7"/>
  </r>
  <r>
    <n v="1356"/>
    <x v="355"/>
    <x v="0"/>
    <x v="2"/>
    <n v="41397"/>
    <n v="7231"/>
    <n v="6"/>
  </r>
  <r>
    <n v="1357"/>
    <x v="356"/>
    <x v="3"/>
    <x v="2"/>
    <n v="43709"/>
    <n v="11628"/>
    <n v="3"/>
  </r>
  <r>
    <n v="1358"/>
    <x v="357"/>
    <x v="1"/>
    <x v="1"/>
    <n v="66120"/>
    <n v="3617"/>
    <n v="6"/>
  </r>
  <r>
    <n v="1359"/>
    <x v="358"/>
    <x v="2"/>
    <x v="0"/>
    <n v="24250"/>
    <n v="6291"/>
    <n v="6"/>
  </r>
  <r>
    <n v="1360"/>
    <x v="359"/>
    <x v="0"/>
    <x v="1"/>
    <n v="26172"/>
    <n v="9283"/>
    <n v="5"/>
  </r>
  <r>
    <n v="1361"/>
    <x v="360"/>
    <x v="1"/>
    <x v="3"/>
    <n v="16555"/>
    <n v="14121"/>
    <n v="4"/>
  </r>
  <r>
    <n v="1362"/>
    <x v="361"/>
    <x v="2"/>
    <x v="1"/>
    <n v="58276"/>
    <n v="13897"/>
    <n v="1"/>
  </r>
  <r>
    <n v="1363"/>
    <x v="362"/>
    <x v="2"/>
    <x v="2"/>
    <n v="62492"/>
    <n v="14927"/>
    <n v="6"/>
  </r>
  <r>
    <n v="1364"/>
    <x v="363"/>
    <x v="3"/>
    <x v="1"/>
    <n v="58002"/>
    <n v="3220"/>
    <n v="2"/>
  </r>
  <r>
    <n v="1365"/>
    <x v="364"/>
    <x v="0"/>
    <x v="0"/>
    <n v="77355"/>
    <n v="9405"/>
    <n v="3"/>
  </r>
  <r>
    <n v="1366"/>
    <x v="365"/>
    <x v="0"/>
    <x v="4"/>
    <n v="29762"/>
    <n v="9627"/>
    <n v="8"/>
  </r>
  <r>
    <n v="1367"/>
    <x v="366"/>
    <x v="3"/>
    <x v="1"/>
    <n v="16046"/>
    <n v="6547"/>
    <n v="6"/>
  </r>
  <r>
    <n v="1368"/>
    <x v="367"/>
    <x v="3"/>
    <x v="0"/>
    <n v="33769"/>
    <n v="13029"/>
    <n v="3"/>
  </r>
  <r>
    <n v="1369"/>
    <x v="368"/>
    <x v="0"/>
    <x v="0"/>
    <n v="58302"/>
    <n v="14831"/>
    <n v="7"/>
  </r>
  <r>
    <n v="1370"/>
    <x v="369"/>
    <x v="0"/>
    <x v="2"/>
    <n v="28150"/>
    <n v="8532"/>
    <n v="4"/>
  </r>
  <r>
    <n v="1371"/>
    <x v="370"/>
    <x v="1"/>
    <x v="0"/>
    <n v="73247"/>
    <n v="501"/>
    <n v="9"/>
  </r>
  <r>
    <n v="1372"/>
    <x v="371"/>
    <x v="1"/>
    <x v="0"/>
    <n v="9853"/>
    <n v="6868"/>
    <n v="5"/>
  </r>
  <r>
    <n v="1373"/>
    <x v="372"/>
    <x v="3"/>
    <x v="0"/>
    <n v="26792"/>
    <n v="11540"/>
    <n v="3"/>
  </r>
  <r>
    <n v="1374"/>
    <x v="373"/>
    <x v="1"/>
    <x v="0"/>
    <n v="64129"/>
    <n v="14556"/>
    <n v="2"/>
  </r>
  <r>
    <n v="1375"/>
    <x v="374"/>
    <x v="2"/>
    <x v="3"/>
    <n v="79478"/>
    <n v="12736"/>
    <n v="2"/>
  </r>
  <r>
    <n v="1376"/>
    <x v="375"/>
    <x v="1"/>
    <x v="3"/>
    <n v="72298"/>
    <n v="2449"/>
    <n v="3"/>
  </r>
  <r>
    <n v="1377"/>
    <x v="376"/>
    <x v="1"/>
    <x v="2"/>
    <n v="36987"/>
    <n v="7232"/>
    <n v="2"/>
  </r>
  <r>
    <n v="1378"/>
    <x v="377"/>
    <x v="2"/>
    <x v="1"/>
    <n v="20850"/>
    <n v="14951"/>
    <n v="4"/>
  </r>
  <r>
    <n v="1379"/>
    <x v="378"/>
    <x v="3"/>
    <x v="0"/>
    <n v="17112"/>
    <n v="8333"/>
    <n v="2"/>
  </r>
  <r>
    <n v="1380"/>
    <x v="379"/>
    <x v="2"/>
    <x v="1"/>
    <n v="29058"/>
    <n v="1417"/>
    <n v="9"/>
  </r>
  <r>
    <n v="1381"/>
    <x v="380"/>
    <x v="1"/>
    <x v="1"/>
    <n v="50420"/>
    <n v="3674"/>
    <n v="2"/>
  </r>
  <r>
    <n v="1382"/>
    <x v="381"/>
    <x v="3"/>
    <x v="2"/>
    <n v="43890"/>
    <n v="10933"/>
    <n v="9"/>
  </r>
  <r>
    <n v="1383"/>
    <x v="382"/>
    <x v="1"/>
    <x v="0"/>
    <n v="71017"/>
    <n v="7514"/>
    <n v="6"/>
  </r>
  <r>
    <n v="1384"/>
    <x v="383"/>
    <x v="2"/>
    <x v="0"/>
    <n v="52304"/>
    <n v="589"/>
    <n v="1"/>
  </r>
  <r>
    <n v="1385"/>
    <x v="384"/>
    <x v="2"/>
    <x v="4"/>
    <n v="37921"/>
    <n v="2209"/>
    <n v="4"/>
  </r>
  <r>
    <n v="1386"/>
    <x v="385"/>
    <x v="1"/>
    <x v="1"/>
    <n v="6524"/>
    <n v="10861"/>
    <n v="1"/>
  </r>
  <r>
    <n v="1387"/>
    <x v="386"/>
    <x v="0"/>
    <x v="1"/>
    <n v="20048"/>
    <n v="12930"/>
    <n v="6"/>
  </r>
  <r>
    <n v="1388"/>
    <x v="387"/>
    <x v="0"/>
    <x v="3"/>
    <n v="40111"/>
    <n v="3541"/>
    <n v="4"/>
  </r>
  <r>
    <n v="1389"/>
    <x v="388"/>
    <x v="2"/>
    <x v="4"/>
    <n v="42904"/>
    <n v="605"/>
    <n v="3"/>
  </r>
  <r>
    <n v="1390"/>
    <x v="389"/>
    <x v="2"/>
    <x v="3"/>
    <n v="59912"/>
    <n v="9578"/>
    <n v="3"/>
  </r>
  <r>
    <n v="1391"/>
    <x v="390"/>
    <x v="0"/>
    <x v="3"/>
    <n v="39008"/>
    <n v="9119"/>
    <n v="9"/>
  </r>
  <r>
    <n v="1392"/>
    <x v="391"/>
    <x v="0"/>
    <x v="3"/>
    <n v="5060"/>
    <n v="14116"/>
    <n v="6"/>
  </r>
  <r>
    <n v="1393"/>
    <x v="392"/>
    <x v="1"/>
    <x v="2"/>
    <n v="79666"/>
    <n v="2395"/>
    <n v="9"/>
  </r>
  <r>
    <n v="1394"/>
    <x v="393"/>
    <x v="1"/>
    <x v="2"/>
    <n v="60337"/>
    <n v="6590"/>
    <n v="5"/>
  </r>
  <r>
    <n v="1395"/>
    <x v="394"/>
    <x v="0"/>
    <x v="3"/>
    <n v="18350"/>
    <n v="9008"/>
    <n v="2"/>
  </r>
  <r>
    <n v="1396"/>
    <x v="395"/>
    <x v="1"/>
    <x v="4"/>
    <n v="29354"/>
    <n v="6582"/>
    <n v="8"/>
  </r>
  <r>
    <n v="1397"/>
    <x v="396"/>
    <x v="1"/>
    <x v="1"/>
    <n v="50186"/>
    <n v="1134"/>
    <n v="5"/>
  </r>
  <r>
    <n v="1398"/>
    <x v="397"/>
    <x v="3"/>
    <x v="4"/>
    <n v="33145"/>
    <n v="2425"/>
    <n v="2"/>
  </r>
  <r>
    <n v="1399"/>
    <x v="398"/>
    <x v="1"/>
    <x v="0"/>
    <n v="39020"/>
    <n v="2556"/>
    <n v="4"/>
  </r>
  <r>
    <n v="1400"/>
    <x v="399"/>
    <x v="2"/>
    <x v="2"/>
    <n v="25581"/>
    <n v="7417"/>
    <n v="9"/>
  </r>
  <r>
    <n v="1401"/>
    <x v="400"/>
    <x v="1"/>
    <x v="1"/>
    <n v="28051"/>
    <n v="3644"/>
    <n v="4"/>
  </r>
  <r>
    <n v="1402"/>
    <x v="401"/>
    <x v="1"/>
    <x v="1"/>
    <n v="56474"/>
    <n v="10962"/>
    <n v="4"/>
  </r>
  <r>
    <n v="1403"/>
    <x v="402"/>
    <x v="0"/>
    <x v="0"/>
    <n v="74626"/>
    <n v="10131"/>
    <n v="2"/>
  </r>
  <r>
    <n v="1404"/>
    <x v="403"/>
    <x v="2"/>
    <x v="0"/>
    <n v="11960"/>
    <n v="1052"/>
    <n v="6"/>
  </r>
  <r>
    <n v="1405"/>
    <x v="404"/>
    <x v="1"/>
    <x v="3"/>
    <n v="40772"/>
    <n v="9407"/>
    <n v="2"/>
  </r>
  <r>
    <n v="1406"/>
    <x v="405"/>
    <x v="1"/>
    <x v="2"/>
    <n v="26520"/>
    <n v="5883"/>
    <n v="7"/>
  </r>
  <r>
    <n v="1407"/>
    <x v="406"/>
    <x v="3"/>
    <x v="2"/>
    <n v="54481"/>
    <n v="4411"/>
    <n v="3"/>
  </r>
  <r>
    <n v="1408"/>
    <x v="407"/>
    <x v="1"/>
    <x v="4"/>
    <n v="41408"/>
    <n v="10405"/>
    <n v="3"/>
  </r>
  <r>
    <n v="1409"/>
    <x v="408"/>
    <x v="1"/>
    <x v="3"/>
    <n v="62134"/>
    <n v="14671"/>
    <n v="5"/>
  </r>
  <r>
    <n v="1410"/>
    <x v="409"/>
    <x v="3"/>
    <x v="3"/>
    <n v="25491"/>
    <n v="3889"/>
    <n v="3"/>
  </r>
  <r>
    <n v="1411"/>
    <x v="410"/>
    <x v="0"/>
    <x v="3"/>
    <n v="6341"/>
    <n v="9799"/>
    <n v="2"/>
  </r>
  <r>
    <n v="1412"/>
    <x v="411"/>
    <x v="1"/>
    <x v="3"/>
    <n v="49623"/>
    <n v="14129"/>
    <n v="9"/>
  </r>
  <r>
    <n v="1413"/>
    <x v="412"/>
    <x v="3"/>
    <x v="2"/>
    <n v="5338"/>
    <n v="12898"/>
    <n v="2"/>
  </r>
  <r>
    <n v="1414"/>
    <x v="413"/>
    <x v="2"/>
    <x v="2"/>
    <n v="76431"/>
    <n v="8942"/>
    <n v="2"/>
  </r>
  <r>
    <n v="1415"/>
    <x v="414"/>
    <x v="0"/>
    <x v="3"/>
    <n v="17254"/>
    <n v="2930"/>
    <n v="8"/>
  </r>
  <r>
    <n v="1416"/>
    <x v="415"/>
    <x v="2"/>
    <x v="4"/>
    <n v="56860"/>
    <n v="10746"/>
    <n v="9"/>
  </r>
  <r>
    <n v="1417"/>
    <x v="416"/>
    <x v="2"/>
    <x v="1"/>
    <n v="16344"/>
    <n v="958"/>
    <n v="7"/>
  </r>
  <r>
    <n v="1418"/>
    <x v="417"/>
    <x v="3"/>
    <x v="1"/>
    <n v="6750"/>
    <n v="13895"/>
    <n v="3"/>
  </r>
  <r>
    <n v="1419"/>
    <x v="418"/>
    <x v="1"/>
    <x v="4"/>
    <n v="59756"/>
    <n v="707"/>
    <n v="9"/>
  </r>
  <r>
    <n v="1420"/>
    <x v="419"/>
    <x v="3"/>
    <x v="3"/>
    <n v="72957"/>
    <n v="1399"/>
    <n v="3"/>
  </r>
  <r>
    <n v="1421"/>
    <x v="420"/>
    <x v="3"/>
    <x v="2"/>
    <n v="63053"/>
    <n v="12153"/>
    <n v="5"/>
  </r>
  <r>
    <n v="1422"/>
    <x v="421"/>
    <x v="3"/>
    <x v="1"/>
    <n v="75855"/>
    <n v="12077"/>
    <n v="9"/>
  </r>
  <r>
    <n v="1423"/>
    <x v="422"/>
    <x v="3"/>
    <x v="0"/>
    <n v="20896"/>
    <n v="521"/>
    <n v="3"/>
  </r>
  <r>
    <n v="1424"/>
    <x v="423"/>
    <x v="0"/>
    <x v="0"/>
    <n v="60761"/>
    <n v="9101"/>
    <n v="7"/>
  </r>
  <r>
    <n v="1425"/>
    <x v="424"/>
    <x v="1"/>
    <x v="4"/>
    <n v="67552"/>
    <n v="1394"/>
    <n v="1"/>
  </r>
  <r>
    <n v="1426"/>
    <x v="425"/>
    <x v="2"/>
    <x v="3"/>
    <n v="32935"/>
    <n v="1014"/>
    <n v="4"/>
  </r>
  <r>
    <n v="1427"/>
    <x v="426"/>
    <x v="2"/>
    <x v="1"/>
    <n v="42641"/>
    <n v="7794"/>
    <n v="4"/>
  </r>
  <r>
    <n v="1428"/>
    <x v="427"/>
    <x v="1"/>
    <x v="3"/>
    <n v="34711"/>
    <n v="5404"/>
    <n v="7"/>
  </r>
  <r>
    <n v="1429"/>
    <x v="428"/>
    <x v="2"/>
    <x v="1"/>
    <n v="75342"/>
    <n v="8367"/>
    <n v="8"/>
  </r>
  <r>
    <n v="1430"/>
    <x v="429"/>
    <x v="1"/>
    <x v="4"/>
    <n v="17182"/>
    <n v="13661"/>
    <n v="1"/>
  </r>
  <r>
    <n v="1431"/>
    <x v="430"/>
    <x v="2"/>
    <x v="4"/>
    <n v="61276"/>
    <n v="4609"/>
    <n v="5"/>
  </r>
  <r>
    <n v="1432"/>
    <x v="431"/>
    <x v="3"/>
    <x v="0"/>
    <n v="24541"/>
    <n v="13758"/>
    <n v="7"/>
  </r>
  <r>
    <n v="1433"/>
    <x v="432"/>
    <x v="2"/>
    <x v="3"/>
    <n v="49813"/>
    <n v="7679"/>
    <n v="4"/>
  </r>
  <r>
    <n v="1434"/>
    <x v="433"/>
    <x v="1"/>
    <x v="0"/>
    <n v="42198"/>
    <n v="10826"/>
    <n v="4"/>
  </r>
  <r>
    <n v="1435"/>
    <x v="434"/>
    <x v="1"/>
    <x v="3"/>
    <n v="13820"/>
    <n v="12287"/>
    <n v="4"/>
  </r>
  <r>
    <n v="1436"/>
    <x v="435"/>
    <x v="1"/>
    <x v="0"/>
    <n v="29070"/>
    <n v="11648"/>
    <n v="6"/>
  </r>
  <r>
    <n v="1437"/>
    <x v="436"/>
    <x v="1"/>
    <x v="2"/>
    <n v="74768"/>
    <n v="2060"/>
    <n v="7"/>
  </r>
  <r>
    <n v="1438"/>
    <x v="437"/>
    <x v="1"/>
    <x v="2"/>
    <n v="16122"/>
    <n v="14112"/>
    <n v="2"/>
  </r>
  <r>
    <n v="1439"/>
    <x v="438"/>
    <x v="0"/>
    <x v="2"/>
    <n v="78543"/>
    <n v="1766"/>
    <n v="5"/>
  </r>
  <r>
    <n v="1440"/>
    <x v="439"/>
    <x v="0"/>
    <x v="2"/>
    <n v="46786"/>
    <n v="10861"/>
    <n v="4"/>
  </r>
  <r>
    <n v="1441"/>
    <x v="440"/>
    <x v="2"/>
    <x v="1"/>
    <n v="11737"/>
    <n v="4138"/>
    <n v="3"/>
  </r>
  <r>
    <n v="1442"/>
    <x v="441"/>
    <x v="1"/>
    <x v="2"/>
    <n v="41062"/>
    <n v="9441"/>
    <n v="7"/>
  </r>
  <r>
    <n v="1443"/>
    <x v="442"/>
    <x v="2"/>
    <x v="4"/>
    <n v="59237"/>
    <n v="3927"/>
    <n v="6"/>
  </r>
  <r>
    <n v="1444"/>
    <x v="443"/>
    <x v="1"/>
    <x v="4"/>
    <n v="56571"/>
    <n v="5280"/>
    <n v="7"/>
  </r>
  <r>
    <n v="1445"/>
    <x v="444"/>
    <x v="1"/>
    <x v="1"/>
    <n v="30510"/>
    <n v="2427"/>
    <n v="5"/>
  </r>
  <r>
    <n v="1446"/>
    <x v="445"/>
    <x v="0"/>
    <x v="2"/>
    <n v="24426"/>
    <n v="12496"/>
    <n v="6"/>
  </r>
  <r>
    <n v="1447"/>
    <x v="446"/>
    <x v="0"/>
    <x v="2"/>
    <n v="42265"/>
    <n v="12394"/>
    <n v="5"/>
  </r>
  <r>
    <n v="1448"/>
    <x v="447"/>
    <x v="3"/>
    <x v="2"/>
    <n v="22850"/>
    <n v="2856"/>
    <n v="7"/>
  </r>
  <r>
    <n v="1449"/>
    <x v="448"/>
    <x v="0"/>
    <x v="0"/>
    <n v="71150"/>
    <n v="5290"/>
    <n v="2"/>
  </r>
  <r>
    <n v="1450"/>
    <x v="449"/>
    <x v="3"/>
    <x v="3"/>
    <n v="79910"/>
    <n v="11027"/>
    <n v="5"/>
  </r>
  <r>
    <n v="1451"/>
    <x v="450"/>
    <x v="3"/>
    <x v="0"/>
    <n v="57375"/>
    <n v="806"/>
    <n v="6"/>
  </r>
  <r>
    <n v="1452"/>
    <x v="451"/>
    <x v="3"/>
    <x v="3"/>
    <n v="40435"/>
    <n v="8479"/>
    <n v="6"/>
  </r>
  <r>
    <n v="1453"/>
    <x v="452"/>
    <x v="3"/>
    <x v="2"/>
    <n v="62132"/>
    <n v="4165"/>
    <n v="5"/>
  </r>
  <r>
    <n v="1454"/>
    <x v="453"/>
    <x v="3"/>
    <x v="2"/>
    <n v="7983"/>
    <n v="10681"/>
    <n v="7"/>
  </r>
  <r>
    <n v="1455"/>
    <x v="454"/>
    <x v="2"/>
    <x v="0"/>
    <n v="25662"/>
    <n v="7557"/>
    <n v="8"/>
  </r>
  <r>
    <n v="1456"/>
    <x v="455"/>
    <x v="0"/>
    <x v="0"/>
    <n v="28510"/>
    <n v="1161"/>
    <n v="7"/>
  </r>
  <r>
    <n v="1457"/>
    <x v="456"/>
    <x v="3"/>
    <x v="3"/>
    <n v="45998"/>
    <n v="5144"/>
    <n v="5"/>
  </r>
  <r>
    <n v="1458"/>
    <x v="457"/>
    <x v="1"/>
    <x v="4"/>
    <n v="61846"/>
    <n v="9003"/>
    <n v="1"/>
  </r>
  <r>
    <n v="1459"/>
    <x v="458"/>
    <x v="0"/>
    <x v="3"/>
    <n v="11640"/>
    <n v="3420"/>
    <n v="5"/>
  </r>
  <r>
    <n v="1460"/>
    <x v="459"/>
    <x v="0"/>
    <x v="0"/>
    <n v="49547"/>
    <n v="9774"/>
    <n v="2"/>
  </r>
  <r>
    <n v="1461"/>
    <x v="460"/>
    <x v="3"/>
    <x v="0"/>
    <n v="59620"/>
    <n v="11663"/>
    <n v="5"/>
  </r>
  <r>
    <n v="1462"/>
    <x v="461"/>
    <x v="2"/>
    <x v="1"/>
    <n v="20317"/>
    <n v="14525"/>
    <n v="5"/>
  </r>
  <r>
    <n v="1463"/>
    <x v="462"/>
    <x v="3"/>
    <x v="0"/>
    <n v="12564"/>
    <n v="9446"/>
    <n v="2"/>
  </r>
  <r>
    <n v="1464"/>
    <x v="463"/>
    <x v="2"/>
    <x v="1"/>
    <n v="32345"/>
    <n v="12822"/>
    <n v="5"/>
  </r>
  <r>
    <n v="1465"/>
    <x v="464"/>
    <x v="1"/>
    <x v="4"/>
    <n v="79859"/>
    <n v="13232"/>
    <n v="4"/>
  </r>
  <r>
    <n v="1466"/>
    <x v="465"/>
    <x v="0"/>
    <x v="3"/>
    <n v="79038"/>
    <n v="6736"/>
    <n v="1"/>
  </r>
  <r>
    <n v="1467"/>
    <x v="466"/>
    <x v="1"/>
    <x v="3"/>
    <n v="57393"/>
    <n v="6578"/>
    <n v="3"/>
  </r>
  <r>
    <n v="1468"/>
    <x v="467"/>
    <x v="2"/>
    <x v="1"/>
    <n v="71081"/>
    <n v="14018"/>
    <n v="1"/>
  </r>
  <r>
    <n v="1469"/>
    <x v="468"/>
    <x v="2"/>
    <x v="3"/>
    <n v="34430"/>
    <n v="852"/>
    <n v="5"/>
  </r>
  <r>
    <n v="1470"/>
    <x v="469"/>
    <x v="1"/>
    <x v="0"/>
    <n v="32788"/>
    <n v="9594"/>
    <n v="4"/>
  </r>
  <r>
    <n v="1471"/>
    <x v="470"/>
    <x v="2"/>
    <x v="2"/>
    <n v="53543"/>
    <n v="14143"/>
    <n v="7"/>
  </r>
  <r>
    <n v="1472"/>
    <x v="471"/>
    <x v="1"/>
    <x v="1"/>
    <n v="18919"/>
    <n v="12580"/>
    <n v="5"/>
  </r>
  <r>
    <n v="1473"/>
    <x v="472"/>
    <x v="0"/>
    <x v="3"/>
    <n v="74346"/>
    <n v="7505"/>
    <n v="4"/>
  </r>
  <r>
    <n v="1474"/>
    <x v="473"/>
    <x v="1"/>
    <x v="1"/>
    <n v="44974"/>
    <n v="14536"/>
    <n v="2"/>
  </r>
  <r>
    <n v="1475"/>
    <x v="474"/>
    <x v="0"/>
    <x v="1"/>
    <n v="21371"/>
    <n v="658"/>
    <n v="4"/>
  </r>
  <r>
    <n v="1476"/>
    <x v="475"/>
    <x v="1"/>
    <x v="2"/>
    <n v="50084"/>
    <n v="10669"/>
    <n v="2"/>
  </r>
  <r>
    <n v="1477"/>
    <x v="476"/>
    <x v="2"/>
    <x v="0"/>
    <n v="34629"/>
    <n v="1456"/>
    <n v="8"/>
  </r>
  <r>
    <n v="1478"/>
    <x v="477"/>
    <x v="1"/>
    <x v="1"/>
    <n v="56184"/>
    <n v="2571"/>
    <n v="3"/>
  </r>
  <r>
    <n v="1479"/>
    <x v="478"/>
    <x v="2"/>
    <x v="3"/>
    <n v="66916"/>
    <n v="9095"/>
    <n v="9"/>
  </r>
  <r>
    <n v="1480"/>
    <x v="479"/>
    <x v="1"/>
    <x v="4"/>
    <n v="78972"/>
    <n v="13303"/>
    <n v="4"/>
  </r>
  <r>
    <n v="1481"/>
    <x v="480"/>
    <x v="1"/>
    <x v="1"/>
    <n v="67187"/>
    <n v="11471"/>
    <n v="6"/>
  </r>
  <r>
    <n v="1482"/>
    <x v="481"/>
    <x v="3"/>
    <x v="1"/>
    <n v="17984"/>
    <n v="10079"/>
    <n v="5"/>
  </r>
  <r>
    <n v="1483"/>
    <x v="482"/>
    <x v="2"/>
    <x v="2"/>
    <n v="38039"/>
    <n v="3953"/>
    <n v="1"/>
  </r>
  <r>
    <n v="1484"/>
    <x v="483"/>
    <x v="3"/>
    <x v="0"/>
    <n v="63606"/>
    <n v="7175"/>
    <n v="9"/>
  </r>
  <r>
    <n v="1485"/>
    <x v="484"/>
    <x v="2"/>
    <x v="4"/>
    <n v="15616"/>
    <n v="1455"/>
    <n v="1"/>
  </r>
  <r>
    <n v="1486"/>
    <x v="485"/>
    <x v="3"/>
    <x v="3"/>
    <n v="55072"/>
    <n v="6795"/>
    <n v="8"/>
  </r>
  <r>
    <n v="1487"/>
    <x v="486"/>
    <x v="0"/>
    <x v="4"/>
    <n v="29574"/>
    <n v="2212"/>
    <n v="9"/>
  </r>
  <r>
    <n v="1488"/>
    <x v="487"/>
    <x v="1"/>
    <x v="3"/>
    <n v="8430"/>
    <n v="5203"/>
    <n v="9"/>
  </r>
  <r>
    <n v="1489"/>
    <x v="488"/>
    <x v="2"/>
    <x v="0"/>
    <n v="17676"/>
    <n v="7063"/>
    <n v="1"/>
  </r>
  <r>
    <n v="1490"/>
    <x v="489"/>
    <x v="2"/>
    <x v="3"/>
    <n v="15816"/>
    <n v="9965"/>
    <n v="2"/>
  </r>
  <r>
    <n v="1491"/>
    <x v="490"/>
    <x v="1"/>
    <x v="2"/>
    <n v="37733"/>
    <n v="6131"/>
    <n v="1"/>
  </r>
  <r>
    <n v="1492"/>
    <x v="491"/>
    <x v="2"/>
    <x v="2"/>
    <n v="7050"/>
    <n v="12503"/>
    <n v="2"/>
  </r>
  <r>
    <n v="1493"/>
    <x v="492"/>
    <x v="2"/>
    <x v="2"/>
    <n v="38933"/>
    <n v="11317"/>
    <n v="8"/>
  </r>
  <r>
    <n v="1494"/>
    <x v="493"/>
    <x v="3"/>
    <x v="2"/>
    <n v="29951"/>
    <n v="11074"/>
    <n v="5"/>
  </r>
  <r>
    <n v="1495"/>
    <x v="494"/>
    <x v="2"/>
    <x v="4"/>
    <n v="37413"/>
    <n v="10133"/>
    <n v="7"/>
  </r>
  <r>
    <n v="1496"/>
    <x v="495"/>
    <x v="0"/>
    <x v="0"/>
    <n v="39801"/>
    <n v="11671"/>
    <n v="2"/>
  </r>
  <r>
    <n v="1497"/>
    <x v="496"/>
    <x v="0"/>
    <x v="3"/>
    <n v="60619"/>
    <n v="10489"/>
    <n v="8"/>
  </r>
  <r>
    <n v="1498"/>
    <x v="497"/>
    <x v="1"/>
    <x v="3"/>
    <n v="37913"/>
    <n v="13082"/>
    <n v="6"/>
  </r>
  <r>
    <n v="1499"/>
    <x v="498"/>
    <x v="2"/>
    <x v="2"/>
    <n v="45600"/>
    <n v="12701"/>
    <n v="8"/>
  </r>
  <r>
    <n v="1500"/>
    <x v="499"/>
    <x v="1"/>
    <x v="2"/>
    <n v="62775"/>
    <n v="13542"/>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d v="2024-01-01T00:00:00"/>
    <x v="0"/>
    <x v="0"/>
    <n v="40854"/>
    <n v="9396"/>
    <n v="3"/>
  </r>
  <r>
    <n v="1002"/>
    <d v="2024-01-02T00:00:00"/>
    <x v="1"/>
    <x v="0"/>
    <n v="51271"/>
    <n v="8673"/>
    <n v="6"/>
  </r>
  <r>
    <n v="1003"/>
    <d v="2024-01-03T00:00:00"/>
    <x v="2"/>
    <x v="1"/>
    <n v="78688"/>
    <n v="14786"/>
    <n v="3"/>
  </r>
  <r>
    <n v="1004"/>
    <d v="2024-01-04T00:00:00"/>
    <x v="0"/>
    <x v="2"/>
    <n v="43518"/>
    <n v="3132"/>
    <n v="2"/>
  </r>
  <r>
    <n v="1005"/>
    <d v="2024-01-05T00:00:00"/>
    <x v="0"/>
    <x v="3"/>
    <n v="15267"/>
    <n v="4994"/>
    <n v="8"/>
  </r>
  <r>
    <n v="1006"/>
    <d v="2024-01-06T00:00:00"/>
    <x v="1"/>
    <x v="1"/>
    <n v="6062"/>
    <n v="8556"/>
    <n v="5"/>
  </r>
  <r>
    <n v="1007"/>
    <d v="2024-01-07T00:00:00"/>
    <x v="2"/>
    <x v="3"/>
    <n v="55448"/>
    <n v="8011"/>
    <n v="1"/>
  </r>
  <r>
    <n v="1008"/>
    <d v="2024-01-08T00:00:00"/>
    <x v="2"/>
    <x v="3"/>
    <n v="11229"/>
    <n v="9655"/>
    <n v="3"/>
  </r>
  <r>
    <n v="1009"/>
    <d v="2024-01-09T00:00:00"/>
    <x v="0"/>
    <x v="2"/>
    <n v="61793"/>
    <n v="10926"/>
    <n v="8"/>
  </r>
  <r>
    <n v="1010"/>
    <d v="2024-01-10T00:00:00"/>
    <x v="3"/>
    <x v="3"/>
    <n v="52915"/>
    <n v="10733"/>
    <n v="4"/>
  </r>
  <r>
    <n v="1011"/>
    <d v="2024-01-11T00:00:00"/>
    <x v="0"/>
    <x v="3"/>
    <n v="9632"/>
    <n v="2328"/>
    <n v="7"/>
  </r>
  <r>
    <n v="1012"/>
    <d v="2024-01-12T00:00:00"/>
    <x v="0"/>
    <x v="2"/>
    <n v="8596"/>
    <n v="10800"/>
    <n v="2"/>
  </r>
  <r>
    <n v="1013"/>
    <d v="2024-01-13T00:00:00"/>
    <x v="0"/>
    <x v="3"/>
    <n v="11168"/>
    <n v="12760"/>
    <n v="7"/>
  </r>
  <r>
    <n v="1014"/>
    <d v="2024-01-14T00:00:00"/>
    <x v="0"/>
    <x v="3"/>
    <n v="12561"/>
    <n v="9630"/>
    <n v="5"/>
  </r>
  <r>
    <n v="1015"/>
    <d v="2024-01-15T00:00:00"/>
    <x v="1"/>
    <x v="3"/>
    <n v="78794"/>
    <n v="5305"/>
    <n v="5"/>
  </r>
  <r>
    <n v="1016"/>
    <d v="2024-01-16T00:00:00"/>
    <x v="2"/>
    <x v="1"/>
    <n v="31734"/>
    <n v="1306"/>
    <n v="6"/>
  </r>
  <r>
    <n v="1017"/>
    <d v="2024-01-17T00:00:00"/>
    <x v="1"/>
    <x v="1"/>
    <n v="11371"/>
    <n v="10155"/>
    <n v="9"/>
  </r>
  <r>
    <n v="1018"/>
    <d v="2024-01-18T00:00:00"/>
    <x v="1"/>
    <x v="1"/>
    <n v="31069"/>
    <n v="7986"/>
    <n v="6"/>
  </r>
  <r>
    <n v="1019"/>
    <d v="2024-01-19T00:00:00"/>
    <x v="1"/>
    <x v="2"/>
    <n v="17910"/>
    <n v="14113"/>
    <n v="8"/>
  </r>
  <r>
    <n v="1020"/>
    <d v="2024-01-20T00:00:00"/>
    <x v="0"/>
    <x v="0"/>
    <n v="78479"/>
    <n v="12107"/>
    <n v="7"/>
  </r>
  <r>
    <n v="1021"/>
    <d v="2024-01-21T00:00:00"/>
    <x v="3"/>
    <x v="3"/>
    <n v="28275"/>
    <n v="8702"/>
    <n v="9"/>
  </r>
  <r>
    <n v="1022"/>
    <d v="2024-01-22T00:00:00"/>
    <x v="2"/>
    <x v="3"/>
    <n v="77274"/>
    <n v="13873"/>
    <n v="4"/>
  </r>
  <r>
    <n v="1023"/>
    <d v="2024-01-23T00:00:00"/>
    <x v="3"/>
    <x v="2"/>
    <n v="65004"/>
    <n v="2368"/>
    <n v="2"/>
  </r>
  <r>
    <n v="1024"/>
    <d v="2024-01-24T00:00:00"/>
    <x v="1"/>
    <x v="3"/>
    <n v="67981"/>
    <n v="8378"/>
    <n v="7"/>
  </r>
  <r>
    <n v="1025"/>
    <d v="2024-01-25T00:00:00"/>
    <x v="1"/>
    <x v="1"/>
    <n v="59553"/>
    <n v="13559"/>
    <n v="6"/>
  </r>
  <r>
    <n v="1026"/>
    <d v="2024-01-26T00:00:00"/>
    <x v="3"/>
    <x v="0"/>
    <n v="53447"/>
    <n v="6190"/>
    <n v="1"/>
  </r>
  <r>
    <n v="1027"/>
    <d v="2024-01-27T00:00:00"/>
    <x v="3"/>
    <x v="4"/>
    <n v="39529"/>
    <n v="14395"/>
    <n v="9"/>
  </r>
  <r>
    <n v="1028"/>
    <d v="2024-01-28T00:00:00"/>
    <x v="3"/>
    <x v="3"/>
    <n v="22260"/>
    <n v="8327"/>
    <n v="9"/>
  </r>
  <r>
    <n v="1029"/>
    <d v="2024-01-29T00:00:00"/>
    <x v="1"/>
    <x v="1"/>
    <n v="8812"/>
    <n v="5929"/>
    <n v="2"/>
  </r>
  <r>
    <n v="1030"/>
    <d v="2024-01-30T00:00:00"/>
    <x v="1"/>
    <x v="4"/>
    <n v="33024"/>
    <n v="9576"/>
    <n v="3"/>
  </r>
  <r>
    <n v="1031"/>
    <d v="2024-01-31T00:00:00"/>
    <x v="2"/>
    <x v="0"/>
    <n v="63656"/>
    <n v="4064"/>
    <n v="5"/>
  </r>
  <r>
    <n v="1032"/>
    <d v="2024-02-01T00:00:00"/>
    <x v="2"/>
    <x v="4"/>
    <n v="32285"/>
    <n v="1889"/>
    <n v="5"/>
  </r>
  <r>
    <n v="1033"/>
    <d v="2024-02-02T00:00:00"/>
    <x v="1"/>
    <x v="1"/>
    <n v="6605"/>
    <n v="12093"/>
    <n v="1"/>
  </r>
  <r>
    <n v="1034"/>
    <d v="2024-02-03T00:00:00"/>
    <x v="3"/>
    <x v="4"/>
    <n v="76158"/>
    <n v="7774"/>
    <n v="8"/>
  </r>
  <r>
    <n v="1035"/>
    <d v="2024-02-04T00:00:00"/>
    <x v="3"/>
    <x v="2"/>
    <n v="77303"/>
    <n v="13013"/>
    <n v="8"/>
  </r>
  <r>
    <n v="1036"/>
    <d v="2024-02-05T00:00:00"/>
    <x v="2"/>
    <x v="4"/>
    <n v="32139"/>
    <n v="1324"/>
    <n v="4"/>
  </r>
  <r>
    <n v="1037"/>
    <d v="2024-02-06T00:00:00"/>
    <x v="1"/>
    <x v="3"/>
    <n v="61138"/>
    <n v="2765"/>
    <n v="7"/>
  </r>
  <r>
    <n v="1038"/>
    <d v="2024-02-07T00:00:00"/>
    <x v="2"/>
    <x v="3"/>
    <n v="18918"/>
    <n v="1436"/>
    <n v="3"/>
  </r>
  <r>
    <n v="1039"/>
    <d v="2024-02-08T00:00:00"/>
    <x v="2"/>
    <x v="2"/>
    <n v="32446"/>
    <n v="11492"/>
    <n v="6"/>
  </r>
  <r>
    <n v="1040"/>
    <d v="2024-02-09T00:00:00"/>
    <x v="0"/>
    <x v="1"/>
    <n v="18046"/>
    <n v="11245"/>
    <n v="9"/>
  </r>
  <r>
    <n v="1041"/>
    <d v="2024-02-10T00:00:00"/>
    <x v="0"/>
    <x v="3"/>
    <n v="29818"/>
    <n v="6902"/>
    <n v="1"/>
  </r>
  <r>
    <n v="1042"/>
    <d v="2024-02-11T00:00:00"/>
    <x v="0"/>
    <x v="0"/>
    <n v="9324"/>
    <n v="14699"/>
    <n v="5"/>
  </r>
  <r>
    <n v="1043"/>
    <d v="2024-02-12T00:00:00"/>
    <x v="3"/>
    <x v="3"/>
    <n v="14111"/>
    <n v="4345"/>
    <n v="4"/>
  </r>
  <r>
    <n v="1044"/>
    <d v="2024-02-13T00:00:00"/>
    <x v="1"/>
    <x v="3"/>
    <n v="43110"/>
    <n v="2296"/>
    <n v="8"/>
  </r>
  <r>
    <n v="1045"/>
    <d v="2024-02-14T00:00:00"/>
    <x v="1"/>
    <x v="1"/>
    <n v="21389"/>
    <n v="8745"/>
    <n v="1"/>
  </r>
  <r>
    <n v="1046"/>
    <d v="2024-02-15T00:00:00"/>
    <x v="1"/>
    <x v="4"/>
    <n v="46427"/>
    <n v="7714"/>
    <n v="9"/>
  </r>
  <r>
    <n v="1047"/>
    <d v="2024-02-16T00:00:00"/>
    <x v="1"/>
    <x v="3"/>
    <n v="33746"/>
    <n v="1226"/>
    <n v="6"/>
  </r>
  <r>
    <n v="1048"/>
    <d v="2024-02-17T00:00:00"/>
    <x v="0"/>
    <x v="2"/>
    <n v="5117"/>
    <n v="3236"/>
    <n v="4"/>
  </r>
  <r>
    <n v="1049"/>
    <d v="2024-02-18T00:00:00"/>
    <x v="3"/>
    <x v="4"/>
    <n v="18234"/>
    <n v="14332"/>
    <n v="9"/>
  </r>
  <r>
    <n v="1050"/>
    <d v="2024-02-19T00:00:00"/>
    <x v="3"/>
    <x v="0"/>
    <n v="58441"/>
    <n v="11862"/>
    <n v="5"/>
  </r>
  <r>
    <n v="1051"/>
    <d v="2024-02-20T00:00:00"/>
    <x v="0"/>
    <x v="1"/>
    <n v="5846"/>
    <n v="13831"/>
    <n v="5"/>
  </r>
  <r>
    <n v="1052"/>
    <d v="2024-02-21T00:00:00"/>
    <x v="3"/>
    <x v="0"/>
    <n v="15954"/>
    <n v="2413"/>
    <n v="5"/>
  </r>
  <r>
    <n v="1053"/>
    <d v="2024-02-22T00:00:00"/>
    <x v="0"/>
    <x v="4"/>
    <n v="51514"/>
    <n v="14564"/>
    <n v="1"/>
  </r>
  <r>
    <n v="1054"/>
    <d v="2024-02-23T00:00:00"/>
    <x v="1"/>
    <x v="4"/>
    <n v="11469"/>
    <n v="10288"/>
    <n v="1"/>
  </r>
  <r>
    <n v="1055"/>
    <d v="2024-02-24T00:00:00"/>
    <x v="0"/>
    <x v="4"/>
    <n v="35105"/>
    <n v="10606"/>
    <n v="8"/>
  </r>
  <r>
    <n v="1056"/>
    <d v="2024-02-25T00:00:00"/>
    <x v="1"/>
    <x v="0"/>
    <n v="47101"/>
    <n v="8157"/>
    <n v="8"/>
  </r>
  <r>
    <n v="1057"/>
    <d v="2024-02-26T00:00:00"/>
    <x v="1"/>
    <x v="4"/>
    <n v="69323"/>
    <n v="2966"/>
    <n v="6"/>
  </r>
  <r>
    <n v="1058"/>
    <d v="2024-02-27T00:00:00"/>
    <x v="2"/>
    <x v="0"/>
    <n v="63067"/>
    <n v="11429"/>
    <n v="4"/>
  </r>
  <r>
    <n v="1059"/>
    <d v="2024-02-28T00:00:00"/>
    <x v="0"/>
    <x v="4"/>
    <n v="54376"/>
    <n v="9541"/>
    <n v="2"/>
  </r>
  <r>
    <n v="1060"/>
    <d v="2024-02-29T00:00:00"/>
    <x v="2"/>
    <x v="2"/>
    <n v="50587"/>
    <n v="10801"/>
    <n v="2"/>
  </r>
  <r>
    <n v="1061"/>
    <d v="2024-03-01T00:00:00"/>
    <x v="0"/>
    <x v="4"/>
    <n v="41976"/>
    <n v="7812"/>
    <n v="9"/>
  </r>
  <r>
    <n v="1062"/>
    <d v="2024-03-02T00:00:00"/>
    <x v="0"/>
    <x v="0"/>
    <n v="72584"/>
    <n v="8694"/>
    <n v="5"/>
  </r>
  <r>
    <n v="1063"/>
    <d v="2024-03-03T00:00:00"/>
    <x v="2"/>
    <x v="3"/>
    <n v="47533"/>
    <n v="12947"/>
    <n v="4"/>
  </r>
  <r>
    <n v="1064"/>
    <d v="2024-03-04T00:00:00"/>
    <x v="2"/>
    <x v="4"/>
    <n v="6828"/>
    <n v="8406"/>
    <n v="1"/>
  </r>
  <r>
    <n v="1065"/>
    <d v="2024-03-05T00:00:00"/>
    <x v="0"/>
    <x v="3"/>
    <n v="6917"/>
    <n v="12761"/>
    <n v="7"/>
  </r>
  <r>
    <n v="1066"/>
    <d v="2024-03-06T00:00:00"/>
    <x v="3"/>
    <x v="2"/>
    <n v="25618"/>
    <n v="5376"/>
    <n v="3"/>
  </r>
  <r>
    <n v="1067"/>
    <d v="2024-03-07T00:00:00"/>
    <x v="1"/>
    <x v="1"/>
    <n v="37254"/>
    <n v="7787"/>
    <n v="6"/>
  </r>
  <r>
    <n v="1068"/>
    <d v="2024-03-08T00:00:00"/>
    <x v="2"/>
    <x v="2"/>
    <n v="52362"/>
    <n v="1392"/>
    <n v="5"/>
  </r>
  <r>
    <n v="1069"/>
    <d v="2024-03-09T00:00:00"/>
    <x v="1"/>
    <x v="4"/>
    <n v="25128"/>
    <n v="10722"/>
    <n v="5"/>
  </r>
  <r>
    <n v="1070"/>
    <d v="2024-03-10T00:00:00"/>
    <x v="3"/>
    <x v="3"/>
    <n v="64383"/>
    <n v="11852"/>
    <n v="5"/>
  </r>
  <r>
    <n v="1071"/>
    <d v="2024-03-11T00:00:00"/>
    <x v="3"/>
    <x v="3"/>
    <n v="70545"/>
    <n v="11068"/>
    <n v="1"/>
  </r>
  <r>
    <n v="1072"/>
    <d v="2024-03-12T00:00:00"/>
    <x v="3"/>
    <x v="0"/>
    <n v="14865"/>
    <n v="5175"/>
    <n v="1"/>
  </r>
  <r>
    <n v="1073"/>
    <d v="2024-03-13T00:00:00"/>
    <x v="2"/>
    <x v="3"/>
    <n v="7219"/>
    <n v="2433"/>
    <n v="3"/>
  </r>
  <r>
    <n v="1074"/>
    <d v="2024-03-14T00:00:00"/>
    <x v="3"/>
    <x v="0"/>
    <n v="44809"/>
    <n v="1880"/>
    <n v="4"/>
  </r>
  <r>
    <n v="1075"/>
    <d v="2024-03-15T00:00:00"/>
    <x v="2"/>
    <x v="1"/>
    <n v="10287"/>
    <n v="12373"/>
    <n v="5"/>
  </r>
  <r>
    <n v="1076"/>
    <d v="2024-03-16T00:00:00"/>
    <x v="3"/>
    <x v="4"/>
    <n v="39387"/>
    <n v="1790"/>
    <n v="2"/>
  </r>
  <r>
    <n v="1077"/>
    <d v="2024-03-17T00:00:00"/>
    <x v="1"/>
    <x v="0"/>
    <n v="13512"/>
    <n v="2140"/>
    <n v="8"/>
  </r>
  <r>
    <n v="1078"/>
    <d v="2024-03-18T00:00:00"/>
    <x v="1"/>
    <x v="1"/>
    <n v="6342"/>
    <n v="13739"/>
    <n v="2"/>
  </r>
  <r>
    <n v="1079"/>
    <d v="2024-03-19T00:00:00"/>
    <x v="0"/>
    <x v="3"/>
    <n v="68076"/>
    <n v="7990"/>
    <n v="9"/>
  </r>
  <r>
    <n v="1080"/>
    <d v="2024-03-20T00:00:00"/>
    <x v="1"/>
    <x v="3"/>
    <n v="24216"/>
    <n v="11374"/>
    <n v="2"/>
  </r>
  <r>
    <n v="1081"/>
    <d v="2024-03-21T00:00:00"/>
    <x v="0"/>
    <x v="1"/>
    <n v="31614"/>
    <n v="9679"/>
    <n v="9"/>
  </r>
  <r>
    <n v="1082"/>
    <d v="2024-03-22T00:00:00"/>
    <x v="1"/>
    <x v="3"/>
    <n v="41258"/>
    <n v="1718"/>
    <n v="7"/>
  </r>
  <r>
    <n v="1083"/>
    <d v="2024-03-23T00:00:00"/>
    <x v="2"/>
    <x v="1"/>
    <n v="47078"/>
    <n v="5516"/>
    <n v="8"/>
  </r>
  <r>
    <n v="1084"/>
    <d v="2024-03-24T00:00:00"/>
    <x v="1"/>
    <x v="0"/>
    <n v="17219"/>
    <n v="7381"/>
    <n v="2"/>
  </r>
  <r>
    <n v="1085"/>
    <d v="2024-03-25T00:00:00"/>
    <x v="0"/>
    <x v="0"/>
    <n v="5235"/>
    <n v="10047"/>
    <n v="7"/>
  </r>
  <r>
    <n v="1086"/>
    <d v="2024-03-26T00:00:00"/>
    <x v="0"/>
    <x v="1"/>
    <n v="47929"/>
    <n v="12957"/>
    <n v="6"/>
  </r>
  <r>
    <n v="1087"/>
    <d v="2024-03-27T00:00:00"/>
    <x v="3"/>
    <x v="0"/>
    <n v="72444"/>
    <n v="13308"/>
    <n v="4"/>
  </r>
  <r>
    <n v="1088"/>
    <d v="2024-03-28T00:00:00"/>
    <x v="2"/>
    <x v="0"/>
    <n v="13567"/>
    <n v="14274"/>
    <n v="7"/>
  </r>
  <r>
    <n v="1089"/>
    <d v="2024-03-29T00:00:00"/>
    <x v="1"/>
    <x v="0"/>
    <n v="75792"/>
    <n v="12827"/>
    <n v="4"/>
  </r>
  <r>
    <n v="1090"/>
    <d v="2024-03-30T00:00:00"/>
    <x v="3"/>
    <x v="2"/>
    <n v="70441"/>
    <n v="10252"/>
    <n v="2"/>
  </r>
  <r>
    <n v="1091"/>
    <d v="2024-03-31T00:00:00"/>
    <x v="1"/>
    <x v="4"/>
    <n v="78698"/>
    <n v="10110"/>
    <n v="7"/>
  </r>
  <r>
    <n v="1092"/>
    <d v="2024-04-01T00:00:00"/>
    <x v="1"/>
    <x v="3"/>
    <n v="10415"/>
    <n v="1454"/>
    <n v="8"/>
  </r>
  <r>
    <n v="1093"/>
    <d v="2024-04-02T00:00:00"/>
    <x v="3"/>
    <x v="2"/>
    <n v="41159"/>
    <n v="9675"/>
    <n v="2"/>
  </r>
  <r>
    <n v="1094"/>
    <d v="2024-04-03T00:00:00"/>
    <x v="3"/>
    <x v="0"/>
    <n v="48925"/>
    <n v="7791"/>
    <n v="5"/>
  </r>
  <r>
    <n v="1095"/>
    <d v="2024-04-04T00:00:00"/>
    <x v="3"/>
    <x v="1"/>
    <n v="10951"/>
    <n v="1474"/>
    <n v="1"/>
  </r>
  <r>
    <n v="1096"/>
    <d v="2024-04-05T00:00:00"/>
    <x v="3"/>
    <x v="0"/>
    <n v="13007"/>
    <n v="4633"/>
    <n v="7"/>
  </r>
  <r>
    <n v="1097"/>
    <d v="2024-04-06T00:00:00"/>
    <x v="3"/>
    <x v="4"/>
    <n v="46832"/>
    <n v="5870"/>
    <n v="8"/>
  </r>
  <r>
    <n v="1098"/>
    <d v="2024-04-07T00:00:00"/>
    <x v="1"/>
    <x v="0"/>
    <n v="63596"/>
    <n v="4472"/>
    <n v="6"/>
  </r>
  <r>
    <n v="1099"/>
    <d v="2024-04-08T00:00:00"/>
    <x v="3"/>
    <x v="1"/>
    <n v="35523"/>
    <n v="5795"/>
    <n v="5"/>
  </r>
  <r>
    <n v="1100"/>
    <d v="2024-04-09T00:00:00"/>
    <x v="2"/>
    <x v="4"/>
    <n v="20524"/>
    <n v="14413"/>
    <n v="6"/>
  </r>
  <r>
    <n v="1101"/>
    <d v="2024-04-10T00:00:00"/>
    <x v="0"/>
    <x v="0"/>
    <n v="24282"/>
    <n v="9605"/>
    <n v="2"/>
  </r>
  <r>
    <n v="1102"/>
    <d v="2024-04-11T00:00:00"/>
    <x v="3"/>
    <x v="4"/>
    <n v="28930"/>
    <n v="13241"/>
    <n v="1"/>
  </r>
  <r>
    <n v="1103"/>
    <d v="2024-04-12T00:00:00"/>
    <x v="3"/>
    <x v="3"/>
    <n v="5077"/>
    <n v="8728"/>
    <n v="7"/>
  </r>
  <r>
    <n v="1104"/>
    <d v="2024-04-13T00:00:00"/>
    <x v="1"/>
    <x v="3"/>
    <n v="25611"/>
    <n v="12079"/>
    <n v="7"/>
  </r>
  <r>
    <n v="1105"/>
    <d v="2024-04-14T00:00:00"/>
    <x v="3"/>
    <x v="0"/>
    <n v="21984"/>
    <n v="10403"/>
    <n v="2"/>
  </r>
  <r>
    <n v="1106"/>
    <d v="2024-04-15T00:00:00"/>
    <x v="3"/>
    <x v="4"/>
    <n v="19060"/>
    <n v="3520"/>
    <n v="2"/>
  </r>
  <r>
    <n v="1107"/>
    <d v="2024-04-16T00:00:00"/>
    <x v="3"/>
    <x v="1"/>
    <n v="48303"/>
    <n v="9487"/>
    <n v="1"/>
  </r>
  <r>
    <n v="1108"/>
    <d v="2024-04-17T00:00:00"/>
    <x v="1"/>
    <x v="0"/>
    <n v="64207"/>
    <n v="4536"/>
    <n v="8"/>
  </r>
  <r>
    <n v="1109"/>
    <d v="2024-04-18T00:00:00"/>
    <x v="3"/>
    <x v="3"/>
    <n v="34287"/>
    <n v="5568"/>
    <n v="8"/>
  </r>
  <r>
    <n v="1110"/>
    <d v="2024-04-19T00:00:00"/>
    <x v="0"/>
    <x v="3"/>
    <n v="44711"/>
    <n v="13380"/>
    <n v="1"/>
  </r>
  <r>
    <n v="1111"/>
    <d v="2024-04-20T00:00:00"/>
    <x v="1"/>
    <x v="0"/>
    <n v="16954"/>
    <n v="5733"/>
    <n v="8"/>
  </r>
  <r>
    <n v="1112"/>
    <d v="2024-04-21T00:00:00"/>
    <x v="0"/>
    <x v="4"/>
    <n v="78340"/>
    <n v="11803"/>
    <n v="9"/>
  </r>
  <r>
    <n v="1113"/>
    <d v="2024-04-22T00:00:00"/>
    <x v="1"/>
    <x v="3"/>
    <n v="77101"/>
    <n v="10016"/>
    <n v="4"/>
  </r>
  <r>
    <n v="1114"/>
    <d v="2024-04-23T00:00:00"/>
    <x v="3"/>
    <x v="4"/>
    <n v="76520"/>
    <n v="817"/>
    <n v="1"/>
  </r>
  <r>
    <n v="1115"/>
    <d v="2024-04-24T00:00:00"/>
    <x v="0"/>
    <x v="3"/>
    <n v="23574"/>
    <n v="2896"/>
    <n v="1"/>
  </r>
  <r>
    <n v="1116"/>
    <d v="2024-04-25T00:00:00"/>
    <x v="1"/>
    <x v="3"/>
    <n v="14184"/>
    <n v="2662"/>
    <n v="3"/>
  </r>
  <r>
    <n v="1117"/>
    <d v="2024-04-26T00:00:00"/>
    <x v="2"/>
    <x v="2"/>
    <n v="24096"/>
    <n v="3245"/>
    <n v="5"/>
  </r>
  <r>
    <n v="1118"/>
    <d v="2024-04-27T00:00:00"/>
    <x v="3"/>
    <x v="3"/>
    <n v="72728"/>
    <n v="14134"/>
    <n v="5"/>
  </r>
  <r>
    <n v="1119"/>
    <d v="2024-04-28T00:00:00"/>
    <x v="1"/>
    <x v="1"/>
    <n v="39016"/>
    <n v="2091"/>
    <n v="9"/>
  </r>
  <r>
    <n v="1120"/>
    <d v="2024-04-29T00:00:00"/>
    <x v="2"/>
    <x v="0"/>
    <n v="16246"/>
    <n v="11803"/>
    <n v="2"/>
  </r>
  <r>
    <n v="1121"/>
    <d v="2024-04-30T00:00:00"/>
    <x v="1"/>
    <x v="0"/>
    <n v="50558"/>
    <n v="14677"/>
    <n v="2"/>
  </r>
  <r>
    <n v="1122"/>
    <d v="2024-05-01T00:00:00"/>
    <x v="2"/>
    <x v="4"/>
    <n v="23381"/>
    <n v="6683"/>
    <n v="6"/>
  </r>
  <r>
    <n v="1123"/>
    <d v="2024-05-02T00:00:00"/>
    <x v="3"/>
    <x v="3"/>
    <n v="41455"/>
    <n v="4430"/>
    <n v="9"/>
  </r>
  <r>
    <n v="1124"/>
    <d v="2024-05-03T00:00:00"/>
    <x v="0"/>
    <x v="1"/>
    <n v="9018"/>
    <n v="10688"/>
    <n v="1"/>
  </r>
  <r>
    <n v="1125"/>
    <d v="2024-05-04T00:00:00"/>
    <x v="2"/>
    <x v="4"/>
    <n v="16302"/>
    <n v="14560"/>
    <n v="9"/>
  </r>
  <r>
    <n v="1126"/>
    <d v="2024-05-05T00:00:00"/>
    <x v="1"/>
    <x v="2"/>
    <n v="72506"/>
    <n v="1812"/>
    <n v="9"/>
  </r>
  <r>
    <n v="1127"/>
    <d v="2024-05-06T00:00:00"/>
    <x v="3"/>
    <x v="4"/>
    <n v="46157"/>
    <n v="9977"/>
    <n v="9"/>
  </r>
  <r>
    <n v="1128"/>
    <d v="2024-05-07T00:00:00"/>
    <x v="2"/>
    <x v="4"/>
    <n v="59917"/>
    <n v="4811"/>
    <n v="5"/>
  </r>
  <r>
    <n v="1129"/>
    <d v="2024-05-08T00:00:00"/>
    <x v="1"/>
    <x v="3"/>
    <n v="29519"/>
    <n v="7814"/>
    <n v="9"/>
  </r>
  <r>
    <n v="1130"/>
    <d v="2024-05-09T00:00:00"/>
    <x v="1"/>
    <x v="2"/>
    <n v="61819"/>
    <n v="2883"/>
    <n v="4"/>
  </r>
  <r>
    <n v="1131"/>
    <d v="2024-05-10T00:00:00"/>
    <x v="1"/>
    <x v="4"/>
    <n v="76324"/>
    <n v="3739"/>
    <n v="2"/>
  </r>
  <r>
    <n v="1132"/>
    <d v="2024-05-11T00:00:00"/>
    <x v="2"/>
    <x v="1"/>
    <n v="10408"/>
    <n v="2639"/>
    <n v="6"/>
  </r>
  <r>
    <n v="1133"/>
    <d v="2024-05-12T00:00:00"/>
    <x v="2"/>
    <x v="1"/>
    <n v="64379"/>
    <n v="2204"/>
    <n v="4"/>
  </r>
  <r>
    <n v="1134"/>
    <d v="2024-05-13T00:00:00"/>
    <x v="2"/>
    <x v="0"/>
    <n v="30053"/>
    <n v="7424"/>
    <n v="6"/>
  </r>
  <r>
    <n v="1135"/>
    <d v="2024-05-14T00:00:00"/>
    <x v="0"/>
    <x v="2"/>
    <n v="14446"/>
    <n v="862"/>
    <n v="3"/>
  </r>
  <r>
    <n v="1136"/>
    <d v="2024-05-15T00:00:00"/>
    <x v="2"/>
    <x v="2"/>
    <n v="5922"/>
    <n v="3104"/>
    <n v="6"/>
  </r>
  <r>
    <n v="1137"/>
    <d v="2024-05-16T00:00:00"/>
    <x v="2"/>
    <x v="0"/>
    <n v="56356"/>
    <n v="10408"/>
    <n v="2"/>
  </r>
  <r>
    <n v="1138"/>
    <d v="2024-05-17T00:00:00"/>
    <x v="2"/>
    <x v="4"/>
    <n v="15789"/>
    <n v="13981"/>
    <n v="2"/>
  </r>
  <r>
    <n v="1139"/>
    <d v="2024-05-18T00:00:00"/>
    <x v="0"/>
    <x v="2"/>
    <n v="71656"/>
    <n v="13143"/>
    <n v="9"/>
  </r>
  <r>
    <n v="1140"/>
    <d v="2024-05-19T00:00:00"/>
    <x v="2"/>
    <x v="1"/>
    <n v="49028"/>
    <n v="4786"/>
    <n v="7"/>
  </r>
  <r>
    <n v="1141"/>
    <d v="2024-05-20T00:00:00"/>
    <x v="1"/>
    <x v="1"/>
    <n v="69484"/>
    <n v="4238"/>
    <n v="3"/>
  </r>
  <r>
    <n v="1142"/>
    <d v="2024-05-21T00:00:00"/>
    <x v="2"/>
    <x v="3"/>
    <n v="37154"/>
    <n v="2969"/>
    <n v="1"/>
  </r>
  <r>
    <n v="1143"/>
    <d v="2024-05-22T00:00:00"/>
    <x v="1"/>
    <x v="2"/>
    <n v="7336"/>
    <n v="5295"/>
    <n v="8"/>
  </r>
  <r>
    <n v="1144"/>
    <d v="2024-05-23T00:00:00"/>
    <x v="1"/>
    <x v="4"/>
    <n v="72779"/>
    <n v="6650"/>
    <n v="6"/>
  </r>
  <r>
    <n v="1145"/>
    <d v="2024-05-24T00:00:00"/>
    <x v="1"/>
    <x v="0"/>
    <n v="24029"/>
    <n v="14968"/>
    <n v="7"/>
  </r>
  <r>
    <n v="1146"/>
    <d v="2024-05-25T00:00:00"/>
    <x v="0"/>
    <x v="0"/>
    <n v="64201"/>
    <n v="1056"/>
    <n v="9"/>
  </r>
  <r>
    <n v="1147"/>
    <d v="2024-05-26T00:00:00"/>
    <x v="0"/>
    <x v="4"/>
    <n v="37265"/>
    <n v="9517"/>
    <n v="5"/>
  </r>
  <r>
    <n v="1148"/>
    <d v="2024-05-27T00:00:00"/>
    <x v="0"/>
    <x v="3"/>
    <n v="48872"/>
    <n v="3308"/>
    <n v="1"/>
  </r>
  <r>
    <n v="1149"/>
    <d v="2024-05-28T00:00:00"/>
    <x v="2"/>
    <x v="0"/>
    <n v="51197"/>
    <n v="5650"/>
    <n v="7"/>
  </r>
  <r>
    <n v="1150"/>
    <d v="2024-05-29T00:00:00"/>
    <x v="1"/>
    <x v="2"/>
    <n v="60180"/>
    <n v="13213"/>
    <n v="5"/>
  </r>
  <r>
    <n v="1151"/>
    <d v="2024-05-30T00:00:00"/>
    <x v="0"/>
    <x v="3"/>
    <n v="28710"/>
    <n v="8061"/>
    <n v="3"/>
  </r>
  <r>
    <n v="1152"/>
    <d v="2024-05-31T00:00:00"/>
    <x v="0"/>
    <x v="2"/>
    <n v="34486"/>
    <n v="3219"/>
    <n v="9"/>
  </r>
  <r>
    <n v="1153"/>
    <d v="2024-06-01T00:00:00"/>
    <x v="2"/>
    <x v="1"/>
    <n v="76907"/>
    <n v="7006"/>
    <n v="1"/>
  </r>
  <r>
    <n v="1154"/>
    <d v="2024-06-02T00:00:00"/>
    <x v="0"/>
    <x v="3"/>
    <n v="76895"/>
    <n v="12200"/>
    <n v="1"/>
  </r>
  <r>
    <n v="1155"/>
    <d v="2024-06-03T00:00:00"/>
    <x v="2"/>
    <x v="0"/>
    <n v="69435"/>
    <n v="4241"/>
    <n v="1"/>
  </r>
  <r>
    <n v="1156"/>
    <d v="2024-06-04T00:00:00"/>
    <x v="3"/>
    <x v="3"/>
    <n v="45631"/>
    <n v="10266"/>
    <n v="3"/>
  </r>
  <r>
    <n v="1157"/>
    <d v="2024-06-05T00:00:00"/>
    <x v="0"/>
    <x v="3"/>
    <n v="25103"/>
    <n v="4498"/>
    <n v="6"/>
  </r>
  <r>
    <n v="1158"/>
    <d v="2024-06-06T00:00:00"/>
    <x v="3"/>
    <x v="3"/>
    <n v="69772"/>
    <n v="10821"/>
    <n v="3"/>
  </r>
  <r>
    <n v="1159"/>
    <d v="2024-06-07T00:00:00"/>
    <x v="2"/>
    <x v="3"/>
    <n v="19382"/>
    <n v="2903"/>
    <n v="8"/>
  </r>
  <r>
    <n v="1160"/>
    <d v="2024-06-08T00:00:00"/>
    <x v="1"/>
    <x v="2"/>
    <n v="8756"/>
    <n v="12021"/>
    <n v="2"/>
  </r>
  <r>
    <n v="1161"/>
    <d v="2024-06-09T00:00:00"/>
    <x v="0"/>
    <x v="1"/>
    <n v="25609"/>
    <n v="9280"/>
    <n v="9"/>
  </r>
  <r>
    <n v="1162"/>
    <d v="2024-06-10T00:00:00"/>
    <x v="2"/>
    <x v="4"/>
    <n v="21478"/>
    <n v="10704"/>
    <n v="3"/>
  </r>
  <r>
    <n v="1163"/>
    <d v="2024-06-11T00:00:00"/>
    <x v="1"/>
    <x v="3"/>
    <n v="44666"/>
    <n v="10239"/>
    <n v="5"/>
  </r>
  <r>
    <n v="1164"/>
    <d v="2024-06-12T00:00:00"/>
    <x v="1"/>
    <x v="0"/>
    <n v="76315"/>
    <n v="794"/>
    <n v="8"/>
  </r>
  <r>
    <n v="1165"/>
    <d v="2024-06-13T00:00:00"/>
    <x v="3"/>
    <x v="3"/>
    <n v="19153"/>
    <n v="10677"/>
    <n v="2"/>
  </r>
  <r>
    <n v="1166"/>
    <d v="2024-06-14T00:00:00"/>
    <x v="2"/>
    <x v="0"/>
    <n v="17999"/>
    <n v="5843"/>
    <n v="6"/>
  </r>
  <r>
    <n v="1167"/>
    <d v="2024-06-15T00:00:00"/>
    <x v="1"/>
    <x v="2"/>
    <n v="60318"/>
    <n v="14336"/>
    <n v="5"/>
  </r>
  <r>
    <n v="1168"/>
    <d v="2024-06-16T00:00:00"/>
    <x v="0"/>
    <x v="0"/>
    <n v="5814"/>
    <n v="11809"/>
    <n v="9"/>
  </r>
  <r>
    <n v="1169"/>
    <d v="2024-06-17T00:00:00"/>
    <x v="0"/>
    <x v="4"/>
    <n v="7443"/>
    <n v="10382"/>
    <n v="5"/>
  </r>
  <r>
    <n v="1170"/>
    <d v="2024-06-18T00:00:00"/>
    <x v="3"/>
    <x v="1"/>
    <n v="78319"/>
    <n v="1636"/>
    <n v="2"/>
  </r>
  <r>
    <n v="1171"/>
    <d v="2024-06-19T00:00:00"/>
    <x v="1"/>
    <x v="0"/>
    <n v="22368"/>
    <n v="14044"/>
    <n v="5"/>
  </r>
  <r>
    <n v="1172"/>
    <d v="2024-06-20T00:00:00"/>
    <x v="2"/>
    <x v="0"/>
    <n v="20328"/>
    <n v="2564"/>
    <n v="4"/>
  </r>
  <r>
    <n v="1173"/>
    <d v="2024-06-21T00:00:00"/>
    <x v="0"/>
    <x v="1"/>
    <n v="61942"/>
    <n v="13147"/>
    <n v="7"/>
  </r>
  <r>
    <n v="1174"/>
    <d v="2024-06-22T00:00:00"/>
    <x v="1"/>
    <x v="4"/>
    <n v="32306"/>
    <n v="7509"/>
    <n v="6"/>
  </r>
  <r>
    <n v="1175"/>
    <d v="2024-06-23T00:00:00"/>
    <x v="1"/>
    <x v="3"/>
    <n v="44915"/>
    <n v="13487"/>
    <n v="2"/>
  </r>
  <r>
    <n v="1176"/>
    <d v="2024-06-24T00:00:00"/>
    <x v="3"/>
    <x v="0"/>
    <n v="42219"/>
    <n v="5043"/>
    <n v="5"/>
  </r>
  <r>
    <n v="1177"/>
    <d v="2024-06-25T00:00:00"/>
    <x v="0"/>
    <x v="1"/>
    <n v="69644"/>
    <n v="13462"/>
    <n v="7"/>
  </r>
  <r>
    <n v="1178"/>
    <d v="2024-06-26T00:00:00"/>
    <x v="0"/>
    <x v="2"/>
    <n v="65279"/>
    <n v="1507"/>
    <n v="7"/>
  </r>
  <r>
    <n v="1179"/>
    <d v="2024-06-27T00:00:00"/>
    <x v="2"/>
    <x v="1"/>
    <n v="58028"/>
    <n v="5945"/>
    <n v="5"/>
  </r>
  <r>
    <n v="1180"/>
    <d v="2024-06-28T00:00:00"/>
    <x v="0"/>
    <x v="2"/>
    <n v="5126"/>
    <n v="11206"/>
    <n v="9"/>
  </r>
  <r>
    <n v="1181"/>
    <d v="2024-06-29T00:00:00"/>
    <x v="2"/>
    <x v="4"/>
    <n v="57329"/>
    <n v="12218"/>
    <n v="4"/>
  </r>
  <r>
    <n v="1182"/>
    <d v="2024-06-30T00:00:00"/>
    <x v="0"/>
    <x v="3"/>
    <n v="32632"/>
    <n v="13373"/>
    <n v="3"/>
  </r>
  <r>
    <n v="1183"/>
    <d v="2024-07-01T00:00:00"/>
    <x v="3"/>
    <x v="1"/>
    <n v="70310"/>
    <n v="5852"/>
    <n v="4"/>
  </r>
  <r>
    <n v="1184"/>
    <d v="2024-07-02T00:00:00"/>
    <x v="0"/>
    <x v="0"/>
    <n v="60176"/>
    <n v="9939"/>
    <n v="5"/>
  </r>
  <r>
    <n v="1185"/>
    <d v="2024-07-03T00:00:00"/>
    <x v="2"/>
    <x v="4"/>
    <n v="49327"/>
    <n v="13781"/>
    <n v="6"/>
  </r>
  <r>
    <n v="1186"/>
    <d v="2024-07-04T00:00:00"/>
    <x v="2"/>
    <x v="1"/>
    <n v="73904"/>
    <n v="12594"/>
    <n v="3"/>
  </r>
  <r>
    <n v="1187"/>
    <d v="2024-07-05T00:00:00"/>
    <x v="3"/>
    <x v="0"/>
    <n v="8797"/>
    <n v="1935"/>
    <n v="2"/>
  </r>
  <r>
    <n v="1188"/>
    <d v="2024-07-06T00:00:00"/>
    <x v="0"/>
    <x v="1"/>
    <n v="52882"/>
    <n v="1071"/>
    <n v="4"/>
  </r>
  <r>
    <n v="1189"/>
    <d v="2024-07-07T00:00:00"/>
    <x v="0"/>
    <x v="2"/>
    <n v="18718"/>
    <n v="2882"/>
    <n v="5"/>
  </r>
  <r>
    <n v="1190"/>
    <d v="2024-07-08T00:00:00"/>
    <x v="3"/>
    <x v="1"/>
    <n v="39560"/>
    <n v="9937"/>
    <n v="4"/>
  </r>
  <r>
    <n v="1191"/>
    <d v="2024-07-09T00:00:00"/>
    <x v="0"/>
    <x v="1"/>
    <n v="27116"/>
    <n v="10776"/>
    <n v="3"/>
  </r>
  <r>
    <n v="1192"/>
    <d v="2024-07-10T00:00:00"/>
    <x v="0"/>
    <x v="1"/>
    <n v="41244"/>
    <n v="5584"/>
    <n v="8"/>
  </r>
  <r>
    <n v="1193"/>
    <d v="2024-07-11T00:00:00"/>
    <x v="2"/>
    <x v="4"/>
    <n v="6645"/>
    <n v="777"/>
    <n v="4"/>
  </r>
  <r>
    <n v="1194"/>
    <d v="2024-07-12T00:00:00"/>
    <x v="0"/>
    <x v="1"/>
    <n v="52523"/>
    <n v="14007"/>
    <n v="2"/>
  </r>
  <r>
    <n v="1195"/>
    <d v="2024-07-13T00:00:00"/>
    <x v="0"/>
    <x v="0"/>
    <n v="24256"/>
    <n v="7559"/>
    <n v="2"/>
  </r>
  <r>
    <n v="1196"/>
    <d v="2024-07-14T00:00:00"/>
    <x v="3"/>
    <x v="2"/>
    <n v="58173"/>
    <n v="2387"/>
    <n v="1"/>
  </r>
  <r>
    <n v="1197"/>
    <d v="2024-07-15T00:00:00"/>
    <x v="3"/>
    <x v="2"/>
    <n v="42430"/>
    <n v="13271"/>
    <n v="4"/>
  </r>
  <r>
    <n v="1198"/>
    <d v="2024-07-16T00:00:00"/>
    <x v="1"/>
    <x v="1"/>
    <n v="44282"/>
    <n v="1765"/>
    <n v="9"/>
  </r>
  <r>
    <n v="1199"/>
    <d v="2024-07-17T00:00:00"/>
    <x v="2"/>
    <x v="4"/>
    <n v="68374"/>
    <n v="7991"/>
    <n v="7"/>
  </r>
  <r>
    <n v="1200"/>
    <d v="2024-07-18T00:00:00"/>
    <x v="0"/>
    <x v="4"/>
    <n v="73244"/>
    <n v="13518"/>
    <n v="7"/>
  </r>
  <r>
    <n v="1201"/>
    <d v="2024-07-19T00:00:00"/>
    <x v="0"/>
    <x v="0"/>
    <n v="16694"/>
    <n v="1540"/>
    <n v="7"/>
  </r>
  <r>
    <n v="1202"/>
    <d v="2024-07-20T00:00:00"/>
    <x v="1"/>
    <x v="1"/>
    <n v="61264"/>
    <n v="9609"/>
    <n v="8"/>
  </r>
  <r>
    <n v="1203"/>
    <d v="2024-07-21T00:00:00"/>
    <x v="0"/>
    <x v="2"/>
    <n v="62545"/>
    <n v="8573"/>
    <n v="1"/>
  </r>
  <r>
    <n v="1204"/>
    <d v="2024-07-22T00:00:00"/>
    <x v="2"/>
    <x v="4"/>
    <n v="44224"/>
    <n v="9577"/>
    <n v="8"/>
  </r>
  <r>
    <n v="1205"/>
    <d v="2024-07-23T00:00:00"/>
    <x v="1"/>
    <x v="1"/>
    <n v="18224"/>
    <n v="3252"/>
    <n v="4"/>
  </r>
  <r>
    <n v="1206"/>
    <d v="2024-07-24T00:00:00"/>
    <x v="2"/>
    <x v="4"/>
    <n v="45738"/>
    <n v="8713"/>
    <n v="4"/>
  </r>
  <r>
    <n v="1207"/>
    <d v="2024-07-25T00:00:00"/>
    <x v="1"/>
    <x v="4"/>
    <n v="30150"/>
    <n v="5069"/>
    <n v="4"/>
  </r>
  <r>
    <n v="1208"/>
    <d v="2024-07-26T00:00:00"/>
    <x v="1"/>
    <x v="2"/>
    <n v="68731"/>
    <n v="11883"/>
    <n v="6"/>
  </r>
  <r>
    <n v="1209"/>
    <d v="2024-07-27T00:00:00"/>
    <x v="3"/>
    <x v="3"/>
    <n v="54688"/>
    <n v="6853"/>
    <n v="7"/>
  </r>
  <r>
    <n v="1210"/>
    <d v="2024-07-28T00:00:00"/>
    <x v="2"/>
    <x v="0"/>
    <n v="78509"/>
    <n v="2853"/>
    <n v="6"/>
  </r>
  <r>
    <n v="1211"/>
    <d v="2024-07-29T00:00:00"/>
    <x v="0"/>
    <x v="0"/>
    <n v="13577"/>
    <n v="7937"/>
    <n v="1"/>
  </r>
  <r>
    <n v="1212"/>
    <d v="2024-07-30T00:00:00"/>
    <x v="0"/>
    <x v="2"/>
    <n v="13070"/>
    <n v="5299"/>
    <n v="8"/>
  </r>
  <r>
    <n v="1213"/>
    <d v="2024-07-31T00:00:00"/>
    <x v="2"/>
    <x v="4"/>
    <n v="13666"/>
    <n v="1186"/>
    <n v="7"/>
  </r>
  <r>
    <n v="1214"/>
    <d v="2024-08-01T00:00:00"/>
    <x v="0"/>
    <x v="1"/>
    <n v="62761"/>
    <n v="8976"/>
    <n v="6"/>
  </r>
  <r>
    <n v="1215"/>
    <d v="2024-08-02T00:00:00"/>
    <x v="0"/>
    <x v="4"/>
    <n v="41368"/>
    <n v="5311"/>
    <n v="6"/>
  </r>
  <r>
    <n v="1216"/>
    <d v="2024-08-03T00:00:00"/>
    <x v="2"/>
    <x v="2"/>
    <n v="11783"/>
    <n v="12439"/>
    <n v="5"/>
  </r>
  <r>
    <n v="1217"/>
    <d v="2024-08-04T00:00:00"/>
    <x v="1"/>
    <x v="0"/>
    <n v="46914"/>
    <n v="9454"/>
    <n v="6"/>
  </r>
  <r>
    <n v="1218"/>
    <d v="2024-08-05T00:00:00"/>
    <x v="2"/>
    <x v="4"/>
    <n v="75507"/>
    <n v="5846"/>
    <n v="9"/>
  </r>
  <r>
    <n v="1219"/>
    <d v="2024-08-06T00:00:00"/>
    <x v="1"/>
    <x v="0"/>
    <n v="72526"/>
    <n v="5543"/>
    <n v="9"/>
  </r>
  <r>
    <n v="1220"/>
    <d v="2024-08-07T00:00:00"/>
    <x v="0"/>
    <x v="1"/>
    <n v="75835"/>
    <n v="2928"/>
    <n v="8"/>
  </r>
  <r>
    <n v="1221"/>
    <d v="2024-08-08T00:00:00"/>
    <x v="0"/>
    <x v="0"/>
    <n v="50765"/>
    <n v="11199"/>
    <n v="9"/>
  </r>
  <r>
    <n v="1222"/>
    <d v="2024-08-09T00:00:00"/>
    <x v="0"/>
    <x v="0"/>
    <n v="24956"/>
    <n v="5626"/>
    <n v="8"/>
  </r>
  <r>
    <n v="1223"/>
    <d v="2024-08-10T00:00:00"/>
    <x v="3"/>
    <x v="3"/>
    <n v="51240"/>
    <n v="8720"/>
    <n v="8"/>
  </r>
  <r>
    <n v="1224"/>
    <d v="2024-08-11T00:00:00"/>
    <x v="1"/>
    <x v="3"/>
    <n v="42148"/>
    <n v="9598"/>
    <n v="1"/>
  </r>
  <r>
    <n v="1225"/>
    <d v="2024-08-12T00:00:00"/>
    <x v="3"/>
    <x v="3"/>
    <n v="9757"/>
    <n v="11796"/>
    <n v="5"/>
  </r>
  <r>
    <n v="1226"/>
    <d v="2024-08-13T00:00:00"/>
    <x v="3"/>
    <x v="0"/>
    <n v="24097"/>
    <n v="8313"/>
    <n v="4"/>
  </r>
  <r>
    <n v="1227"/>
    <d v="2024-08-14T00:00:00"/>
    <x v="2"/>
    <x v="2"/>
    <n v="15395"/>
    <n v="14914"/>
    <n v="2"/>
  </r>
  <r>
    <n v="1228"/>
    <d v="2024-08-15T00:00:00"/>
    <x v="3"/>
    <x v="0"/>
    <n v="21241"/>
    <n v="12691"/>
    <n v="8"/>
  </r>
  <r>
    <n v="1229"/>
    <d v="2024-08-16T00:00:00"/>
    <x v="2"/>
    <x v="2"/>
    <n v="32696"/>
    <n v="11686"/>
    <n v="3"/>
  </r>
  <r>
    <n v="1230"/>
    <d v="2024-08-17T00:00:00"/>
    <x v="2"/>
    <x v="2"/>
    <n v="75480"/>
    <n v="11198"/>
    <n v="4"/>
  </r>
  <r>
    <n v="1231"/>
    <d v="2024-08-18T00:00:00"/>
    <x v="3"/>
    <x v="3"/>
    <n v="51163"/>
    <n v="13357"/>
    <n v="7"/>
  </r>
  <r>
    <n v="1232"/>
    <d v="2024-08-19T00:00:00"/>
    <x v="1"/>
    <x v="4"/>
    <n v="24816"/>
    <n v="14794"/>
    <n v="9"/>
  </r>
  <r>
    <n v="1233"/>
    <d v="2024-08-20T00:00:00"/>
    <x v="1"/>
    <x v="1"/>
    <n v="54840"/>
    <n v="12301"/>
    <n v="2"/>
  </r>
  <r>
    <n v="1234"/>
    <d v="2024-08-21T00:00:00"/>
    <x v="1"/>
    <x v="3"/>
    <n v="57853"/>
    <n v="12245"/>
    <n v="3"/>
  </r>
  <r>
    <n v="1235"/>
    <d v="2024-08-22T00:00:00"/>
    <x v="1"/>
    <x v="3"/>
    <n v="29917"/>
    <n v="10145"/>
    <n v="4"/>
  </r>
  <r>
    <n v="1236"/>
    <d v="2024-08-23T00:00:00"/>
    <x v="1"/>
    <x v="4"/>
    <n v="26566"/>
    <n v="13525"/>
    <n v="1"/>
  </r>
  <r>
    <n v="1237"/>
    <d v="2024-08-24T00:00:00"/>
    <x v="3"/>
    <x v="1"/>
    <n v="67823"/>
    <n v="3856"/>
    <n v="7"/>
  </r>
  <r>
    <n v="1238"/>
    <d v="2024-08-25T00:00:00"/>
    <x v="3"/>
    <x v="0"/>
    <n v="25806"/>
    <n v="9207"/>
    <n v="2"/>
  </r>
  <r>
    <n v="1239"/>
    <d v="2024-08-26T00:00:00"/>
    <x v="0"/>
    <x v="0"/>
    <n v="6759"/>
    <n v="14788"/>
    <n v="5"/>
  </r>
  <r>
    <n v="1240"/>
    <d v="2024-08-27T00:00:00"/>
    <x v="1"/>
    <x v="3"/>
    <n v="46949"/>
    <n v="7766"/>
    <n v="1"/>
  </r>
  <r>
    <n v="1241"/>
    <d v="2024-08-28T00:00:00"/>
    <x v="3"/>
    <x v="1"/>
    <n v="7482"/>
    <n v="7040"/>
    <n v="3"/>
  </r>
  <r>
    <n v="1242"/>
    <d v="2024-08-29T00:00:00"/>
    <x v="0"/>
    <x v="3"/>
    <n v="29442"/>
    <n v="538"/>
    <n v="2"/>
  </r>
  <r>
    <n v="1243"/>
    <d v="2024-08-30T00:00:00"/>
    <x v="1"/>
    <x v="2"/>
    <n v="38719"/>
    <n v="3842"/>
    <n v="1"/>
  </r>
  <r>
    <n v="1244"/>
    <d v="2024-08-31T00:00:00"/>
    <x v="2"/>
    <x v="3"/>
    <n v="63066"/>
    <n v="9578"/>
    <n v="7"/>
  </r>
  <r>
    <n v="1245"/>
    <d v="2024-09-01T00:00:00"/>
    <x v="0"/>
    <x v="3"/>
    <n v="7079"/>
    <n v="3344"/>
    <n v="5"/>
  </r>
  <r>
    <n v="1246"/>
    <d v="2024-09-02T00:00:00"/>
    <x v="3"/>
    <x v="0"/>
    <n v="7717"/>
    <n v="10896"/>
    <n v="1"/>
  </r>
  <r>
    <n v="1247"/>
    <d v="2024-09-03T00:00:00"/>
    <x v="2"/>
    <x v="0"/>
    <n v="64676"/>
    <n v="1598"/>
    <n v="6"/>
  </r>
  <r>
    <n v="1248"/>
    <d v="2024-09-04T00:00:00"/>
    <x v="2"/>
    <x v="0"/>
    <n v="32952"/>
    <n v="7527"/>
    <n v="5"/>
  </r>
  <r>
    <n v="1249"/>
    <d v="2024-09-05T00:00:00"/>
    <x v="2"/>
    <x v="2"/>
    <n v="47460"/>
    <n v="2323"/>
    <n v="3"/>
  </r>
  <r>
    <n v="1250"/>
    <d v="2024-09-06T00:00:00"/>
    <x v="0"/>
    <x v="0"/>
    <n v="77847"/>
    <n v="11893"/>
    <n v="7"/>
  </r>
  <r>
    <n v="1251"/>
    <d v="2024-09-07T00:00:00"/>
    <x v="3"/>
    <x v="1"/>
    <n v="23449"/>
    <n v="14498"/>
    <n v="9"/>
  </r>
  <r>
    <n v="1252"/>
    <d v="2024-09-08T00:00:00"/>
    <x v="2"/>
    <x v="4"/>
    <n v="38536"/>
    <n v="13761"/>
    <n v="9"/>
  </r>
  <r>
    <n v="1253"/>
    <d v="2024-09-09T00:00:00"/>
    <x v="1"/>
    <x v="1"/>
    <n v="69077"/>
    <n v="3655"/>
    <n v="9"/>
  </r>
  <r>
    <n v="1254"/>
    <d v="2024-09-10T00:00:00"/>
    <x v="2"/>
    <x v="1"/>
    <n v="43258"/>
    <n v="3593"/>
    <n v="2"/>
  </r>
  <r>
    <n v="1255"/>
    <d v="2024-09-11T00:00:00"/>
    <x v="2"/>
    <x v="0"/>
    <n v="53302"/>
    <n v="12222"/>
    <n v="3"/>
  </r>
  <r>
    <n v="1256"/>
    <d v="2024-09-12T00:00:00"/>
    <x v="0"/>
    <x v="4"/>
    <n v="33865"/>
    <n v="6158"/>
    <n v="7"/>
  </r>
  <r>
    <n v="1257"/>
    <d v="2024-09-13T00:00:00"/>
    <x v="0"/>
    <x v="4"/>
    <n v="11645"/>
    <n v="4278"/>
    <n v="5"/>
  </r>
  <r>
    <n v="1258"/>
    <d v="2024-09-14T00:00:00"/>
    <x v="3"/>
    <x v="4"/>
    <n v="43000"/>
    <n v="3396"/>
    <n v="2"/>
  </r>
  <r>
    <n v="1259"/>
    <d v="2024-09-15T00:00:00"/>
    <x v="1"/>
    <x v="2"/>
    <n v="31737"/>
    <n v="12145"/>
    <n v="3"/>
  </r>
  <r>
    <n v="1260"/>
    <d v="2024-09-16T00:00:00"/>
    <x v="0"/>
    <x v="0"/>
    <n v="16485"/>
    <n v="12203"/>
    <n v="6"/>
  </r>
  <r>
    <n v="1261"/>
    <d v="2024-09-17T00:00:00"/>
    <x v="2"/>
    <x v="4"/>
    <n v="43565"/>
    <n v="1488"/>
    <n v="7"/>
  </r>
  <r>
    <n v="1262"/>
    <d v="2024-09-18T00:00:00"/>
    <x v="3"/>
    <x v="2"/>
    <n v="30522"/>
    <n v="4616"/>
    <n v="9"/>
  </r>
  <r>
    <n v="1263"/>
    <d v="2024-09-19T00:00:00"/>
    <x v="2"/>
    <x v="3"/>
    <n v="70155"/>
    <n v="6946"/>
    <n v="1"/>
  </r>
  <r>
    <n v="1264"/>
    <d v="2024-09-20T00:00:00"/>
    <x v="2"/>
    <x v="3"/>
    <n v="60168"/>
    <n v="13656"/>
    <n v="7"/>
  </r>
  <r>
    <n v="1265"/>
    <d v="2024-09-21T00:00:00"/>
    <x v="0"/>
    <x v="2"/>
    <n v="57487"/>
    <n v="12718"/>
    <n v="8"/>
  </r>
  <r>
    <n v="1266"/>
    <d v="2024-09-22T00:00:00"/>
    <x v="3"/>
    <x v="2"/>
    <n v="17342"/>
    <n v="4679"/>
    <n v="3"/>
  </r>
  <r>
    <n v="1267"/>
    <d v="2024-09-23T00:00:00"/>
    <x v="1"/>
    <x v="0"/>
    <n v="45806"/>
    <n v="2182"/>
    <n v="4"/>
  </r>
  <r>
    <n v="1268"/>
    <d v="2024-09-24T00:00:00"/>
    <x v="1"/>
    <x v="0"/>
    <n v="53770"/>
    <n v="14764"/>
    <n v="6"/>
  </r>
  <r>
    <n v="1269"/>
    <d v="2024-09-25T00:00:00"/>
    <x v="0"/>
    <x v="3"/>
    <n v="57603"/>
    <n v="14198"/>
    <n v="7"/>
  </r>
  <r>
    <n v="1270"/>
    <d v="2024-09-26T00:00:00"/>
    <x v="0"/>
    <x v="4"/>
    <n v="31399"/>
    <n v="6126"/>
    <n v="4"/>
  </r>
  <r>
    <n v="1271"/>
    <d v="2024-09-27T00:00:00"/>
    <x v="3"/>
    <x v="3"/>
    <n v="60106"/>
    <n v="7924"/>
    <n v="8"/>
  </r>
  <r>
    <n v="1272"/>
    <d v="2024-09-28T00:00:00"/>
    <x v="1"/>
    <x v="4"/>
    <n v="35678"/>
    <n v="13357"/>
    <n v="5"/>
  </r>
  <r>
    <n v="1273"/>
    <d v="2024-09-29T00:00:00"/>
    <x v="1"/>
    <x v="4"/>
    <n v="68230"/>
    <n v="12655"/>
    <n v="1"/>
  </r>
  <r>
    <n v="1274"/>
    <d v="2024-09-30T00:00:00"/>
    <x v="1"/>
    <x v="0"/>
    <n v="79055"/>
    <n v="1433"/>
    <n v="4"/>
  </r>
  <r>
    <n v="1275"/>
    <d v="2024-10-01T00:00:00"/>
    <x v="2"/>
    <x v="1"/>
    <n v="61373"/>
    <n v="4098"/>
    <n v="3"/>
  </r>
  <r>
    <n v="1276"/>
    <d v="2024-10-02T00:00:00"/>
    <x v="1"/>
    <x v="1"/>
    <n v="36480"/>
    <n v="11925"/>
    <n v="9"/>
  </r>
  <r>
    <n v="1277"/>
    <d v="2024-10-03T00:00:00"/>
    <x v="2"/>
    <x v="2"/>
    <n v="73836"/>
    <n v="2480"/>
    <n v="8"/>
  </r>
  <r>
    <n v="1278"/>
    <d v="2024-10-04T00:00:00"/>
    <x v="3"/>
    <x v="0"/>
    <n v="77258"/>
    <n v="10547"/>
    <n v="1"/>
  </r>
  <r>
    <n v="1279"/>
    <d v="2024-10-05T00:00:00"/>
    <x v="2"/>
    <x v="4"/>
    <n v="44986"/>
    <n v="3556"/>
    <n v="6"/>
  </r>
  <r>
    <n v="1280"/>
    <d v="2024-10-06T00:00:00"/>
    <x v="3"/>
    <x v="1"/>
    <n v="29160"/>
    <n v="9484"/>
    <n v="9"/>
  </r>
  <r>
    <n v="1281"/>
    <d v="2024-10-07T00:00:00"/>
    <x v="1"/>
    <x v="4"/>
    <n v="69929"/>
    <n v="1291"/>
    <n v="7"/>
  </r>
  <r>
    <n v="1282"/>
    <d v="2024-10-08T00:00:00"/>
    <x v="1"/>
    <x v="1"/>
    <n v="78506"/>
    <n v="10501"/>
    <n v="4"/>
  </r>
  <r>
    <n v="1283"/>
    <d v="2024-10-09T00:00:00"/>
    <x v="3"/>
    <x v="1"/>
    <n v="39911"/>
    <n v="5890"/>
    <n v="1"/>
  </r>
  <r>
    <n v="1284"/>
    <d v="2024-10-10T00:00:00"/>
    <x v="0"/>
    <x v="1"/>
    <n v="36821"/>
    <n v="7135"/>
    <n v="2"/>
  </r>
  <r>
    <n v="1285"/>
    <d v="2024-10-11T00:00:00"/>
    <x v="3"/>
    <x v="0"/>
    <n v="65535"/>
    <n v="2755"/>
    <n v="5"/>
  </r>
  <r>
    <n v="1286"/>
    <d v="2024-10-12T00:00:00"/>
    <x v="0"/>
    <x v="3"/>
    <n v="17175"/>
    <n v="4110"/>
    <n v="5"/>
  </r>
  <r>
    <n v="1287"/>
    <d v="2024-10-13T00:00:00"/>
    <x v="2"/>
    <x v="4"/>
    <n v="59771"/>
    <n v="2107"/>
    <n v="8"/>
  </r>
  <r>
    <n v="1288"/>
    <d v="2024-10-14T00:00:00"/>
    <x v="2"/>
    <x v="0"/>
    <n v="71358"/>
    <n v="5679"/>
    <n v="6"/>
  </r>
  <r>
    <n v="1289"/>
    <d v="2024-10-15T00:00:00"/>
    <x v="2"/>
    <x v="0"/>
    <n v="22327"/>
    <n v="7073"/>
    <n v="8"/>
  </r>
  <r>
    <n v="1290"/>
    <d v="2024-10-16T00:00:00"/>
    <x v="1"/>
    <x v="0"/>
    <n v="52057"/>
    <n v="1484"/>
    <n v="2"/>
  </r>
  <r>
    <n v="1291"/>
    <d v="2024-10-17T00:00:00"/>
    <x v="2"/>
    <x v="0"/>
    <n v="11150"/>
    <n v="6276"/>
    <n v="3"/>
  </r>
  <r>
    <n v="1292"/>
    <d v="2024-10-18T00:00:00"/>
    <x v="0"/>
    <x v="0"/>
    <n v="9425"/>
    <n v="4176"/>
    <n v="6"/>
  </r>
  <r>
    <n v="1293"/>
    <d v="2024-10-19T00:00:00"/>
    <x v="2"/>
    <x v="2"/>
    <n v="21032"/>
    <n v="3880"/>
    <n v="3"/>
  </r>
  <r>
    <n v="1294"/>
    <d v="2024-10-20T00:00:00"/>
    <x v="3"/>
    <x v="4"/>
    <n v="7198"/>
    <n v="9211"/>
    <n v="6"/>
  </r>
  <r>
    <n v="1295"/>
    <d v="2024-10-21T00:00:00"/>
    <x v="3"/>
    <x v="0"/>
    <n v="65500"/>
    <n v="9282"/>
    <n v="6"/>
  </r>
  <r>
    <n v="1296"/>
    <d v="2024-10-22T00:00:00"/>
    <x v="1"/>
    <x v="4"/>
    <n v="58394"/>
    <n v="1550"/>
    <n v="2"/>
  </r>
  <r>
    <n v="1297"/>
    <d v="2024-10-23T00:00:00"/>
    <x v="3"/>
    <x v="2"/>
    <n v="25079"/>
    <n v="14497"/>
    <n v="7"/>
  </r>
  <r>
    <n v="1298"/>
    <d v="2024-10-24T00:00:00"/>
    <x v="0"/>
    <x v="2"/>
    <n v="41220"/>
    <n v="4133"/>
    <n v="2"/>
  </r>
  <r>
    <n v="1299"/>
    <d v="2024-10-25T00:00:00"/>
    <x v="2"/>
    <x v="4"/>
    <n v="46874"/>
    <n v="14823"/>
    <n v="6"/>
  </r>
  <r>
    <n v="1300"/>
    <d v="2024-10-26T00:00:00"/>
    <x v="1"/>
    <x v="1"/>
    <n v="18859"/>
    <n v="6842"/>
    <n v="1"/>
  </r>
  <r>
    <n v="1301"/>
    <d v="2024-10-27T00:00:00"/>
    <x v="2"/>
    <x v="3"/>
    <n v="55460"/>
    <n v="13136"/>
    <n v="3"/>
  </r>
  <r>
    <n v="1302"/>
    <d v="2024-10-28T00:00:00"/>
    <x v="2"/>
    <x v="1"/>
    <n v="36419"/>
    <n v="1459"/>
    <n v="2"/>
  </r>
  <r>
    <n v="1303"/>
    <d v="2024-10-29T00:00:00"/>
    <x v="0"/>
    <x v="1"/>
    <n v="13705"/>
    <n v="6559"/>
    <n v="7"/>
  </r>
  <r>
    <n v="1304"/>
    <d v="2024-10-30T00:00:00"/>
    <x v="3"/>
    <x v="1"/>
    <n v="47880"/>
    <n v="9384"/>
    <n v="4"/>
  </r>
  <r>
    <n v="1305"/>
    <d v="2024-10-31T00:00:00"/>
    <x v="3"/>
    <x v="0"/>
    <n v="28236"/>
    <n v="6155"/>
    <n v="8"/>
  </r>
  <r>
    <n v="1306"/>
    <d v="2024-11-01T00:00:00"/>
    <x v="2"/>
    <x v="2"/>
    <n v="20358"/>
    <n v="12591"/>
    <n v="6"/>
  </r>
  <r>
    <n v="1307"/>
    <d v="2024-11-02T00:00:00"/>
    <x v="1"/>
    <x v="1"/>
    <n v="19596"/>
    <n v="4973"/>
    <n v="4"/>
  </r>
  <r>
    <n v="1308"/>
    <d v="2024-11-03T00:00:00"/>
    <x v="3"/>
    <x v="2"/>
    <n v="38572"/>
    <n v="3446"/>
    <n v="5"/>
  </r>
  <r>
    <n v="1309"/>
    <d v="2024-11-04T00:00:00"/>
    <x v="1"/>
    <x v="4"/>
    <n v="6279"/>
    <n v="8225"/>
    <n v="9"/>
  </r>
  <r>
    <n v="1310"/>
    <d v="2024-11-05T00:00:00"/>
    <x v="3"/>
    <x v="3"/>
    <n v="68197"/>
    <n v="1026"/>
    <n v="7"/>
  </r>
  <r>
    <n v="1311"/>
    <d v="2024-11-06T00:00:00"/>
    <x v="1"/>
    <x v="4"/>
    <n v="67516"/>
    <n v="3724"/>
    <n v="9"/>
  </r>
  <r>
    <n v="1312"/>
    <d v="2024-11-07T00:00:00"/>
    <x v="0"/>
    <x v="4"/>
    <n v="12083"/>
    <n v="10945"/>
    <n v="7"/>
  </r>
  <r>
    <n v="1313"/>
    <d v="2024-11-08T00:00:00"/>
    <x v="1"/>
    <x v="0"/>
    <n v="22771"/>
    <n v="12036"/>
    <n v="1"/>
  </r>
  <r>
    <n v="1314"/>
    <d v="2024-11-09T00:00:00"/>
    <x v="0"/>
    <x v="3"/>
    <n v="34975"/>
    <n v="12657"/>
    <n v="8"/>
  </r>
  <r>
    <n v="1315"/>
    <d v="2024-11-10T00:00:00"/>
    <x v="0"/>
    <x v="4"/>
    <n v="50648"/>
    <n v="14047"/>
    <n v="4"/>
  </r>
  <r>
    <n v="1316"/>
    <d v="2024-11-11T00:00:00"/>
    <x v="1"/>
    <x v="4"/>
    <n v="53285"/>
    <n v="2375"/>
    <n v="3"/>
  </r>
  <r>
    <n v="1317"/>
    <d v="2024-11-12T00:00:00"/>
    <x v="0"/>
    <x v="3"/>
    <n v="24063"/>
    <n v="2263"/>
    <n v="7"/>
  </r>
  <r>
    <n v="1318"/>
    <d v="2024-11-13T00:00:00"/>
    <x v="2"/>
    <x v="3"/>
    <n v="72642"/>
    <n v="9212"/>
    <n v="3"/>
  </r>
  <r>
    <n v="1319"/>
    <d v="2024-11-14T00:00:00"/>
    <x v="0"/>
    <x v="4"/>
    <n v="42599"/>
    <n v="6297"/>
    <n v="8"/>
  </r>
  <r>
    <n v="1320"/>
    <d v="2024-11-15T00:00:00"/>
    <x v="3"/>
    <x v="3"/>
    <n v="56920"/>
    <n v="9708"/>
    <n v="6"/>
  </r>
  <r>
    <n v="1321"/>
    <d v="2024-11-16T00:00:00"/>
    <x v="1"/>
    <x v="4"/>
    <n v="33529"/>
    <n v="7599"/>
    <n v="5"/>
  </r>
  <r>
    <n v="1322"/>
    <d v="2024-11-17T00:00:00"/>
    <x v="2"/>
    <x v="4"/>
    <n v="40954"/>
    <n v="5609"/>
    <n v="4"/>
  </r>
  <r>
    <n v="1323"/>
    <d v="2024-11-18T00:00:00"/>
    <x v="1"/>
    <x v="0"/>
    <n v="32856"/>
    <n v="7144"/>
    <n v="8"/>
  </r>
  <r>
    <n v="1324"/>
    <d v="2024-11-19T00:00:00"/>
    <x v="3"/>
    <x v="1"/>
    <n v="7573"/>
    <n v="616"/>
    <n v="8"/>
  </r>
  <r>
    <n v="1325"/>
    <d v="2024-11-20T00:00:00"/>
    <x v="3"/>
    <x v="4"/>
    <n v="40367"/>
    <n v="2933"/>
    <n v="1"/>
  </r>
  <r>
    <n v="1326"/>
    <d v="2024-11-21T00:00:00"/>
    <x v="3"/>
    <x v="2"/>
    <n v="65774"/>
    <n v="5963"/>
    <n v="9"/>
  </r>
  <r>
    <n v="1327"/>
    <d v="2024-11-22T00:00:00"/>
    <x v="0"/>
    <x v="1"/>
    <n v="28752"/>
    <n v="1083"/>
    <n v="5"/>
  </r>
  <r>
    <n v="1328"/>
    <d v="2024-11-23T00:00:00"/>
    <x v="0"/>
    <x v="1"/>
    <n v="60029"/>
    <n v="9086"/>
    <n v="4"/>
  </r>
  <r>
    <n v="1329"/>
    <d v="2024-11-24T00:00:00"/>
    <x v="1"/>
    <x v="1"/>
    <n v="22685"/>
    <n v="13875"/>
    <n v="6"/>
  </r>
  <r>
    <n v="1330"/>
    <d v="2024-11-25T00:00:00"/>
    <x v="1"/>
    <x v="0"/>
    <n v="56693"/>
    <n v="4288"/>
    <n v="6"/>
  </r>
  <r>
    <n v="1331"/>
    <d v="2024-11-26T00:00:00"/>
    <x v="2"/>
    <x v="4"/>
    <n v="60961"/>
    <n v="11460"/>
    <n v="2"/>
  </r>
  <r>
    <n v="1332"/>
    <d v="2024-11-27T00:00:00"/>
    <x v="2"/>
    <x v="0"/>
    <n v="79532"/>
    <n v="4667"/>
    <n v="8"/>
  </r>
  <r>
    <n v="1333"/>
    <d v="2024-11-28T00:00:00"/>
    <x v="1"/>
    <x v="4"/>
    <n v="61133"/>
    <n v="12552"/>
    <n v="7"/>
  </r>
  <r>
    <n v="1334"/>
    <d v="2024-11-29T00:00:00"/>
    <x v="0"/>
    <x v="0"/>
    <n v="66268"/>
    <n v="8965"/>
    <n v="1"/>
  </r>
  <r>
    <n v="1335"/>
    <d v="2024-11-30T00:00:00"/>
    <x v="3"/>
    <x v="0"/>
    <n v="43243"/>
    <n v="10705"/>
    <n v="5"/>
  </r>
  <r>
    <n v="1336"/>
    <d v="2024-12-01T00:00:00"/>
    <x v="1"/>
    <x v="2"/>
    <n v="62384"/>
    <n v="14131"/>
    <n v="6"/>
  </r>
  <r>
    <n v="1337"/>
    <d v="2024-12-02T00:00:00"/>
    <x v="2"/>
    <x v="0"/>
    <n v="36653"/>
    <n v="13125"/>
    <n v="4"/>
  </r>
  <r>
    <n v="1338"/>
    <d v="2024-12-03T00:00:00"/>
    <x v="0"/>
    <x v="3"/>
    <n v="31657"/>
    <n v="1889"/>
    <n v="2"/>
  </r>
  <r>
    <n v="1339"/>
    <d v="2024-12-04T00:00:00"/>
    <x v="1"/>
    <x v="2"/>
    <n v="44952"/>
    <n v="12258"/>
    <n v="4"/>
  </r>
  <r>
    <n v="1340"/>
    <d v="2024-12-05T00:00:00"/>
    <x v="1"/>
    <x v="0"/>
    <n v="27180"/>
    <n v="13394"/>
    <n v="1"/>
  </r>
  <r>
    <n v="1341"/>
    <d v="2024-12-06T00:00:00"/>
    <x v="0"/>
    <x v="1"/>
    <n v="6622"/>
    <n v="8857"/>
    <n v="7"/>
  </r>
  <r>
    <n v="1342"/>
    <d v="2024-12-07T00:00:00"/>
    <x v="1"/>
    <x v="3"/>
    <n v="53756"/>
    <n v="10259"/>
    <n v="2"/>
  </r>
  <r>
    <n v="1343"/>
    <d v="2024-12-08T00:00:00"/>
    <x v="0"/>
    <x v="3"/>
    <n v="45809"/>
    <n v="6654"/>
    <n v="2"/>
  </r>
  <r>
    <n v="1344"/>
    <d v="2024-12-09T00:00:00"/>
    <x v="3"/>
    <x v="3"/>
    <n v="21725"/>
    <n v="5920"/>
    <n v="9"/>
  </r>
  <r>
    <n v="1345"/>
    <d v="2024-12-10T00:00:00"/>
    <x v="0"/>
    <x v="2"/>
    <n v="66396"/>
    <n v="9420"/>
    <n v="5"/>
  </r>
  <r>
    <n v="1346"/>
    <d v="2024-12-11T00:00:00"/>
    <x v="0"/>
    <x v="0"/>
    <n v="56226"/>
    <n v="2543"/>
    <n v="2"/>
  </r>
  <r>
    <n v="1347"/>
    <d v="2024-12-12T00:00:00"/>
    <x v="0"/>
    <x v="0"/>
    <n v="34402"/>
    <n v="4697"/>
    <n v="9"/>
  </r>
  <r>
    <n v="1348"/>
    <d v="2024-12-13T00:00:00"/>
    <x v="1"/>
    <x v="1"/>
    <n v="9263"/>
    <n v="3996"/>
    <n v="9"/>
  </r>
  <r>
    <n v="1349"/>
    <d v="2024-12-14T00:00:00"/>
    <x v="1"/>
    <x v="1"/>
    <n v="51828"/>
    <n v="14203"/>
    <n v="1"/>
  </r>
  <r>
    <n v="1350"/>
    <d v="2024-12-15T00:00:00"/>
    <x v="0"/>
    <x v="3"/>
    <n v="52924"/>
    <n v="1278"/>
    <n v="3"/>
  </r>
  <r>
    <n v="1351"/>
    <d v="2024-12-16T00:00:00"/>
    <x v="1"/>
    <x v="1"/>
    <n v="79182"/>
    <n v="713"/>
    <n v="4"/>
  </r>
  <r>
    <n v="1352"/>
    <d v="2024-12-17T00:00:00"/>
    <x v="2"/>
    <x v="2"/>
    <n v="64052"/>
    <n v="4262"/>
    <n v="7"/>
  </r>
  <r>
    <n v="1353"/>
    <d v="2024-12-18T00:00:00"/>
    <x v="2"/>
    <x v="0"/>
    <n v="16664"/>
    <n v="13899"/>
    <n v="4"/>
  </r>
  <r>
    <n v="1354"/>
    <d v="2024-12-19T00:00:00"/>
    <x v="1"/>
    <x v="3"/>
    <n v="40737"/>
    <n v="10268"/>
    <n v="2"/>
  </r>
  <r>
    <n v="1355"/>
    <d v="2024-12-20T00:00:00"/>
    <x v="1"/>
    <x v="1"/>
    <n v="34373"/>
    <n v="11140"/>
    <n v="7"/>
  </r>
  <r>
    <n v="1356"/>
    <d v="2024-12-21T00:00:00"/>
    <x v="0"/>
    <x v="2"/>
    <n v="41397"/>
    <n v="7231"/>
    <n v="6"/>
  </r>
  <r>
    <n v="1357"/>
    <d v="2024-12-22T00:00:00"/>
    <x v="3"/>
    <x v="2"/>
    <n v="43709"/>
    <n v="11628"/>
    <n v="3"/>
  </r>
  <r>
    <n v="1358"/>
    <d v="2024-12-23T00:00:00"/>
    <x v="1"/>
    <x v="1"/>
    <n v="66120"/>
    <n v="3617"/>
    <n v="6"/>
  </r>
  <r>
    <n v="1359"/>
    <d v="2024-12-24T00:00:00"/>
    <x v="2"/>
    <x v="0"/>
    <n v="24250"/>
    <n v="6291"/>
    <n v="6"/>
  </r>
  <r>
    <n v="1360"/>
    <d v="2024-12-25T00:00:00"/>
    <x v="0"/>
    <x v="1"/>
    <n v="26172"/>
    <n v="9283"/>
    <n v="5"/>
  </r>
  <r>
    <n v="1361"/>
    <d v="2024-12-26T00:00:00"/>
    <x v="1"/>
    <x v="3"/>
    <n v="16555"/>
    <n v="14121"/>
    <n v="4"/>
  </r>
  <r>
    <n v="1362"/>
    <d v="2024-12-27T00:00:00"/>
    <x v="2"/>
    <x v="1"/>
    <n v="58276"/>
    <n v="13897"/>
    <n v="1"/>
  </r>
  <r>
    <n v="1363"/>
    <d v="2024-12-28T00:00:00"/>
    <x v="2"/>
    <x v="2"/>
    <n v="62492"/>
    <n v="14927"/>
    <n v="6"/>
  </r>
  <r>
    <n v="1364"/>
    <d v="2024-12-29T00:00:00"/>
    <x v="3"/>
    <x v="1"/>
    <n v="58002"/>
    <n v="3220"/>
    <n v="2"/>
  </r>
  <r>
    <n v="1365"/>
    <d v="2024-12-30T00:00:00"/>
    <x v="0"/>
    <x v="0"/>
    <n v="77355"/>
    <n v="9405"/>
    <n v="3"/>
  </r>
  <r>
    <n v="1366"/>
    <d v="2024-12-31T00:00:00"/>
    <x v="0"/>
    <x v="4"/>
    <n v="29762"/>
    <n v="9627"/>
    <n v="8"/>
  </r>
  <r>
    <n v="1367"/>
    <d v="2025-01-01T00:00:00"/>
    <x v="3"/>
    <x v="1"/>
    <n v="16046"/>
    <n v="6547"/>
    <n v="6"/>
  </r>
  <r>
    <n v="1368"/>
    <d v="2025-01-02T00:00:00"/>
    <x v="3"/>
    <x v="0"/>
    <n v="33769"/>
    <n v="13029"/>
    <n v="3"/>
  </r>
  <r>
    <n v="1369"/>
    <d v="2025-01-03T00:00:00"/>
    <x v="0"/>
    <x v="0"/>
    <n v="58302"/>
    <n v="14831"/>
    <n v="7"/>
  </r>
  <r>
    <n v="1370"/>
    <d v="2025-01-04T00:00:00"/>
    <x v="0"/>
    <x v="2"/>
    <n v="28150"/>
    <n v="8532"/>
    <n v="4"/>
  </r>
  <r>
    <n v="1371"/>
    <d v="2025-01-05T00:00:00"/>
    <x v="1"/>
    <x v="0"/>
    <n v="73247"/>
    <n v="501"/>
    <n v="9"/>
  </r>
  <r>
    <n v="1372"/>
    <d v="2025-01-06T00:00:00"/>
    <x v="1"/>
    <x v="0"/>
    <n v="9853"/>
    <n v="6868"/>
    <n v="5"/>
  </r>
  <r>
    <n v="1373"/>
    <d v="2025-01-07T00:00:00"/>
    <x v="3"/>
    <x v="0"/>
    <n v="26792"/>
    <n v="11540"/>
    <n v="3"/>
  </r>
  <r>
    <n v="1374"/>
    <d v="2025-01-08T00:00:00"/>
    <x v="1"/>
    <x v="0"/>
    <n v="64129"/>
    <n v="14556"/>
    <n v="2"/>
  </r>
  <r>
    <n v="1375"/>
    <d v="2025-01-09T00:00:00"/>
    <x v="2"/>
    <x v="3"/>
    <n v="79478"/>
    <n v="12736"/>
    <n v="2"/>
  </r>
  <r>
    <n v="1376"/>
    <d v="2025-01-10T00:00:00"/>
    <x v="1"/>
    <x v="3"/>
    <n v="72298"/>
    <n v="2449"/>
    <n v="3"/>
  </r>
  <r>
    <n v="1377"/>
    <d v="2025-01-11T00:00:00"/>
    <x v="1"/>
    <x v="2"/>
    <n v="36987"/>
    <n v="7232"/>
    <n v="2"/>
  </r>
  <r>
    <n v="1378"/>
    <d v="2025-01-12T00:00:00"/>
    <x v="2"/>
    <x v="1"/>
    <n v="20850"/>
    <n v="14951"/>
    <n v="4"/>
  </r>
  <r>
    <n v="1379"/>
    <d v="2025-01-13T00:00:00"/>
    <x v="3"/>
    <x v="0"/>
    <n v="17112"/>
    <n v="8333"/>
    <n v="2"/>
  </r>
  <r>
    <n v="1380"/>
    <d v="2025-01-14T00:00:00"/>
    <x v="2"/>
    <x v="1"/>
    <n v="29058"/>
    <n v="1417"/>
    <n v="9"/>
  </r>
  <r>
    <n v="1381"/>
    <d v="2025-01-15T00:00:00"/>
    <x v="1"/>
    <x v="1"/>
    <n v="50420"/>
    <n v="3674"/>
    <n v="2"/>
  </r>
  <r>
    <n v="1382"/>
    <d v="2025-01-16T00:00:00"/>
    <x v="3"/>
    <x v="2"/>
    <n v="43890"/>
    <n v="10933"/>
    <n v="9"/>
  </r>
  <r>
    <n v="1383"/>
    <d v="2025-01-17T00:00:00"/>
    <x v="1"/>
    <x v="0"/>
    <n v="71017"/>
    <n v="7514"/>
    <n v="6"/>
  </r>
  <r>
    <n v="1384"/>
    <d v="2025-01-18T00:00:00"/>
    <x v="2"/>
    <x v="0"/>
    <n v="52304"/>
    <n v="589"/>
    <n v="1"/>
  </r>
  <r>
    <n v="1385"/>
    <d v="2025-01-19T00:00:00"/>
    <x v="2"/>
    <x v="4"/>
    <n v="37921"/>
    <n v="2209"/>
    <n v="4"/>
  </r>
  <r>
    <n v="1386"/>
    <d v="2025-01-20T00:00:00"/>
    <x v="1"/>
    <x v="1"/>
    <n v="6524"/>
    <n v="10861"/>
    <n v="1"/>
  </r>
  <r>
    <n v="1387"/>
    <d v="2025-01-21T00:00:00"/>
    <x v="0"/>
    <x v="1"/>
    <n v="20048"/>
    <n v="12930"/>
    <n v="6"/>
  </r>
  <r>
    <n v="1388"/>
    <d v="2025-01-22T00:00:00"/>
    <x v="0"/>
    <x v="3"/>
    <n v="40111"/>
    <n v="3541"/>
    <n v="4"/>
  </r>
  <r>
    <n v="1389"/>
    <d v="2025-01-23T00:00:00"/>
    <x v="2"/>
    <x v="4"/>
    <n v="42904"/>
    <n v="605"/>
    <n v="3"/>
  </r>
  <r>
    <n v="1390"/>
    <d v="2025-01-24T00:00:00"/>
    <x v="2"/>
    <x v="3"/>
    <n v="59912"/>
    <n v="9578"/>
    <n v="3"/>
  </r>
  <r>
    <n v="1391"/>
    <d v="2025-01-25T00:00:00"/>
    <x v="0"/>
    <x v="3"/>
    <n v="39008"/>
    <n v="9119"/>
    <n v="9"/>
  </r>
  <r>
    <n v="1392"/>
    <d v="2025-01-26T00:00:00"/>
    <x v="0"/>
    <x v="3"/>
    <n v="5060"/>
    <n v="14116"/>
    <n v="6"/>
  </r>
  <r>
    <n v="1393"/>
    <d v="2025-01-27T00:00:00"/>
    <x v="1"/>
    <x v="2"/>
    <n v="79666"/>
    <n v="2395"/>
    <n v="9"/>
  </r>
  <r>
    <n v="1394"/>
    <d v="2025-01-28T00:00:00"/>
    <x v="1"/>
    <x v="2"/>
    <n v="60337"/>
    <n v="6590"/>
    <n v="5"/>
  </r>
  <r>
    <n v="1395"/>
    <d v="2025-01-29T00:00:00"/>
    <x v="0"/>
    <x v="3"/>
    <n v="18350"/>
    <n v="9008"/>
    <n v="2"/>
  </r>
  <r>
    <n v="1396"/>
    <d v="2025-01-30T00:00:00"/>
    <x v="1"/>
    <x v="4"/>
    <n v="29354"/>
    <n v="6582"/>
    <n v="8"/>
  </r>
  <r>
    <n v="1397"/>
    <d v="2025-01-31T00:00:00"/>
    <x v="1"/>
    <x v="1"/>
    <n v="50186"/>
    <n v="1134"/>
    <n v="5"/>
  </r>
  <r>
    <n v="1398"/>
    <d v="2025-02-01T00:00:00"/>
    <x v="3"/>
    <x v="4"/>
    <n v="33145"/>
    <n v="2425"/>
    <n v="2"/>
  </r>
  <r>
    <n v="1399"/>
    <d v="2025-02-02T00:00:00"/>
    <x v="1"/>
    <x v="0"/>
    <n v="39020"/>
    <n v="2556"/>
    <n v="4"/>
  </r>
  <r>
    <n v="1400"/>
    <d v="2025-02-03T00:00:00"/>
    <x v="2"/>
    <x v="2"/>
    <n v="25581"/>
    <n v="7417"/>
    <n v="9"/>
  </r>
  <r>
    <n v="1401"/>
    <d v="2025-02-04T00:00:00"/>
    <x v="1"/>
    <x v="1"/>
    <n v="28051"/>
    <n v="3644"/>
    <n v="4"/>
  </r>
  <r>
    <n v="1402"/>
    <d v="2025-02-05T00:00:00"/>
    <x v="1"/>
    <x v="1"/>
    <n v="56474"/>
    <n v="10962"/>
    <n v="4"/>
  </r>
  <r>
    <n v="1403"/>
    <d v="2025-02-06T00:00:00"/>
    <x v="0"/>
    <x v="0"/>
    <n v="74626"/>
    <n v="10131"/>
    <n v="2"/>
  </r>
  <r>
    <n v="1404"/>
    <d v="2025-02-07T00:00:00"/>
    <x v="2"/>
    <x v="0"/>
    <n v="11960"/>
    <n v="1052"/>
    <n v="6"/>
  </r>
  <r>
    <n v="1405"/>
    <d v="2025-02-08T00:00:00"/>
    <x v="1"/>
    <x v="3"/>
    <n v="40772"/>
    <n v="9407"/>
    <n v="2"/>
  </r>
  <r>
    <n v="1406"/>
    <d v="2025-02-09T00:00:00"/>
    <x v="1"/>
    <x v="2"/>
    <n v="26520"/>
    <n v="5883"/>
    <n v="7"/>
  </r>
  <r>
    <n v="1407"/>
    <d v="2025-02-10T00:00:00"/>
    <x v="3"/>
    <x v="2"/>
    <n v="54481"/>
    <n v="4411"/>
    <n v="3"/>
  </r>
  <r>
    <n v="1408"/>
    <d v="2025-02-11T00:00:00"/>
    <x v="1"/>
    <x v="4"/>
    <n v="41408"/>
    <n v="10405"/>
    <n v="3"/>
  </r>
  <r>
    <n v="1409"/>
    <d v="2025-02-12T00:00:00"/>
    <x v="1"/>
    <x v="3"/>
    <n v="62134"/>
    <n v="14671"/>
    <n v="5"/>
  </r>
  <r>
    <n v="1410"/>
    <d v="2025-02-13T00:00:00"/>
    <x v="3"/>
    <x v="3"/>
    <n v="25491"/>
    <n v="3889"/>
    <n v="3"/>
  </r>
  <r>
    <n v="1411"/>
    <d v="2025-02-14T00:00:00"/>
    <x v="0"/>
    <x v="3"/>
    <n v="6341"/>
    <n v="9799"/>
    <n v="2"/>
  </r>
  <r>
    <n v="1412"/>
    <d v="2025-02-15T00:00:00"/>
    <x v="1"/>
    <x v="3"/>
    <n v="49623"/>
    <n v="14129"/>
    <n v="9"/>
  </r>
  <r>
    <n v="1413"/>
    <d v="2025-02-16T00:00:00"/>
    <x v="3"/>
    <x v="2"/>
    <n v="5338"/>
    <n v="12898"/>
    <n v="2"/>
  </r>
  <r>
    <n v="1414"/>
    <d v="2025-02-17T00:00:00"/>
    <x v="2"/>
    <x v="2"/>
    <n v="76431"/>
    <n v="8942"/>
    <n v="2"/>
  </r>
  <r>
    <n v="1415"/>
    <d v="2025-02-18T00:00:00"/>
    <x v="0"/>
    <x v="3"/>
    <n v="17254"/>
    <n v="2930"/>
    <n v="8"/>
  </r>
  <r>
    <n v="1416"/>
    <d v="2025-02-19T00:00:00"/>
    <x v="2"/>
    <x v="4"/>
    <n v="56860"/>
    <n v="10746"/>
    <n v="9"/>
  </r>
  <r>
    <n v="1417"/>
    <d v="2025-02-20T00:00:00"/>
    <x v="2"/>
    <x v="1"/>
    <n v="16344"/>
    <n v="958"/>
    <n v="7"/>
  </r>
  <r>
    <n v="1418"/>
    <d v="2025-02-21T00:00:00"/>
    <x v="3"/>
    <x v="1"/>
    <n v="6750"/>
    <n v="13895"/>
    <n v="3"/>
  </r>
  <r>
    <n v="1419"/>
    <d v="2025-02-22T00:00:00"/>
    <x v="1"/>
    <x v="4"/>
    <n v="59756"/>
    <n v="707"/>
    <n v="9"/>
  </r>
  <r>
    <n v="1420"/>
    <d v="2025-02-23T00:00:00"/>
    <x v="3"/>
    <x v="3"/>
    <n v="72957"/>
    <n v="1399"/>
    <n v="3"/>
  </r>
  <r>
    <n v="1421"/>
    <d v="2025-02-24T00:00:00"/>
    <x v="3"/>
    <x v="2"/>
    <n v="63053"/>
    <n v="12153"/>
    <n v="5"/>
  </r>
  <r>
    <n v="1422"/>
    <d v="2025-02-25T00:00:00"/>
    <x v="3"/>
    <x v="1"/>
    <n v="75855"/>
    <n v="12077"/>
    <n v="9"/>
  </r>
  <r>
    <n v="1423"/>
    <d v="2025-02-26T00:00:00"/>
    <x v="3"/>
    <x v="0"/>
    <n v="20896"/>
    <n v="521"/>
    <n v="3"/>
  </r>
  <r>
    <n v="1424"/>
    <d v="2025-02-27T00:00:00"/>
    <x v="0"/>
    <x v="0"/>
    <n v="60761"/>
    <n v="9101"/>
    <n v="7"/>
  </r>
  <r>
    <n v="1425"/>
    <d v="2025-02-28T00:00:00"/>
    <x v="1"/>
    <x v="4"/>
    <n v="67552"/>
    <n v="1394"/>
    <n v="1"/>
  </r>
  <r>
    <n v="1426"/>
    <d v="2025-03-01T00:00:00"/>
    <x v="2"/>
    <x v="3"/>
    <n v="32935"/>
    <n v="1014"/>
    <n v="4"/>
  </r>
  <r>
    <n v="1427"/>
    <d v="2025-03-02T00:00:00"/>
    <x v="2"/>
    <x v="1"/>
    <n v="42641"/>
    <n v="7794"/>
    <n v="4"/>
  </r>
  <r>
    <n v="1428"/>
    <d v="2025-03-03T00:00:00"/>
    <x v="1"/>
    <x v="3"/>
    <n v="34711"/>
    <n v="5404"/>
    <n v="7"/>
  </r>
  <r>
    <n v="1429"/>
    <d v="2025-03-04T00:00:00"/>
    <x v="2"/>
    <x v="1"/>
    <n v="75342"/>
    <n v="8367"/>
    <n v="8"/>
  </r>
  <r>
    <n v="1430"/>
    <d v="2025-03-05T00:00:00"/>
    <x v="1"/>
    <x v="4"/>
    <n v="17182"/>
    <n v="13661"/>
    <n v="1"/>
  </r>
  <r>
    <n v="1431"/>
    <d v="2025-03-06T00:00:00"/>
    <x v="2"/>
    <x v="4"/>
    <n v="61276"/>
    <n v="4609"/>
    <n v="5"/>
  </r>
  <r>
    <n v="1432"/>
    <d v="2025-03-07T00:00:00"/>
    <x v="3"/>
    <x v="0"/>
    <n v="24541"/>
    <n v="13758"/>
    <n v="7"/>
  </r>
  <r>
    <n v="1433"/>
    <d v="2025-03-08T00:00:00"/>
    <x v="2"/>
    <x v="3"/>
    <n v="49813"/>
    <n v="7679"/>
    <n v="4"/>
  </r>
  <r>
    <n v="1434"/>
    <d v="2025-03-09T00:00:00"/>
    <x v="1"/>
    <x v="0"/>
    <n v="42198"/>
    <n v="10826"/>
    <n v="4"/>
  </r>
  <r>
    <n v="1435"/>
    <d v="2025-03-10T00:00:00"/>
    <x v="1"/>
    <x v="3"/>
    <n v="13820"/>
    <n v="12287"/>
    <n v="4"/>
  </r>
  <r>
    <n v="1436"/>
    <d v="2025-03-11T00:00:00"/>
    <x v="1"/>
    <x v="0"/>
    <n v="29070"/>
    <n v="11648"/>
    <n v="6"/>
  </r>
  <r>
    <n v="1437"/>
    <d v="2025-03-12T00:00:00"/>
    <x v="1"/>
    <x v="2"/>
    <n v="74768"/>
    <n v="2060"/>
    <n v="7"/>
  </r>
  <r>
    <n v="1438"/>
    <d v="2025-03-13T00:00:00"/>
    <x v="1"/>
    <x v="2"/>
    <n v="16122"/>
    <n v="14112"/>
    <n v="2"/>
  </r>
  <r>
    <n v="1439"/>
    <d v="2025-03-14T00:00:00"/>
    <x v="0"/>
    <x v="2"/>
    <n v="78543"/>
    <n v="1766"/>
    <n v="5"/>
  </r>
  <r>
    <n v="1440"/>
    <d v="2025-03-15T00:00:00"/>
    <x v="0"/>
    <x v="2"/>
    <n v="46786"/>
    <n v="10861"/>
    <n v="4"/>
  </r>
  <r>
    <n v="1441"/>
    <d v="2025-03-16T00:00:00"/>
    <x v="2"/>
    <x v="1"/>
    <n v="11737"/>
    <n v="4138"/>
    <n v="3"/>
  </r>
  <r>
    <n v="1442"/>
    <d v="2025-03-17T00:00:00"/>
    <x v="1"/>
    <x v="2"/>
    <n v="41062"/>
    <n v="9441"/>
    <n v="7"/>
  </r>
  <r>
    <n v="1443"/>
    <d v="2025-03-18T00:00:00"/>
    <x v="2"/>
    <x v="4"/>
    <n v="59237"/>
    <n v="3927"/>
    <n v="6"/>
  </r>
  <r>
    <n v="1444"/>
    <d v="2025-03-19T00:00:00"/>
    <x v="1"/>
    <x v="4"/>
    <n v="56571"/>
    <n v="5280"/>
    <n v="7"/>
  </r>
  <r>
    <n v="1445"/>
    <d v="2025-03-20T00:00:00"/>
    <x v="1"/>
    <x v="1"/>
    <n v="30510"/>
    <n v="2427"/>
    <n v="5"/>
  </r>
  <r>
    <n v="1446"/>
    <d v="2025-03-21T00:00:00"/>
    <x v="0"/>
    <x v="2"/>
    <n v="24426"/>
    <n v="12496"/>
    <n v="6"/>
  </r>
  <r>
    <n v="1447"/>
    <d v="2025-03-22T00:00:00"/>
    <x v="0"/>
    <x v="2"/>
    <n v="42265"/>
    <n v="12394"/>
    <n v="5"/>
  </r>
  <r>
    <n v="1448"/>
    <d v="2025-03-23T00:00:00"/>
    <x v="3"/>
    <x v="2"/>
    <n v="22850"/>
    <n v="2856"/>
    <n v="7"/>
  </r>
  <r>
    <n v="1449"/>
    <d v="2025-03-24T00:00:00"/>
    <x v="0"/>
    <x v="0"/>
    <n v="71150"/>
    <n v="5290"/>
    <n v="2"/>
  </r>
  <r>
    <n v="1450"/>
    <d v="2025-03-25T00:00:00"/>
    <x v="3"/>
    <x v="3"/>
    <n v="79910"/>
    <n v="11027"/>
    <n v="5"/>
  </r>
  <r>
    <n v="1451"/>
    <d v="2025-03-26T00:00:00"/>
    <x v="3"/>
    <x v="0"/>
    <n v="57375"/>
    <n v="806"/>
    <n v="6"/>
  </r>
  <r>
    <n v="1452"/>
    <d v="2025-03-27T00:00:00"/>
    <x v="3"/>
    <x v="3"/>
    <n v="40435"/>
    <n v="8479"/>
    <n v="6"/>
  </r>
  <r>
    <n v="1453"/>
    <d v="2025-03-28T00:00:00"/>
    <x v="3"/>
    <x v="2"/>
    <n v="62132"/>
    <n v="4165"/>
    <n v="5"/>
  </r>
  <r>
    <n v="1454"/>
    <d v="2025-03-29T00:00:00"/>
    <x v="3"/>
    <x v="2"/>
    <n v="7983"/>
    <n v="10681"/>
    <n v="7"/>
  </r>
  <r>
    <n v="1455"/>
    <d v="2025-03-30T00:00:00"/>
    <x v="2"/>
    <x v="0"/>
    <n v="25662"/>
    <n v="7557"/>
    <n v="8"/>
  </r>
  <r>
    <n v="1456"/>
    <d v="2025-03-31T00:00:00"/>
    <x v="0"/>
    <x v="0"/>
    <n v="28510"/>
    <n v="1161"/>
    <n v="7"/>
  </r>
  <r>
    <n v="1457"/>
    <d v="2025-04-01T00:00:00"/>
    <x v="3"/>
    <x v="3"/>
    <n v="45998"/>
    <n v="5144"/>
    <n v="5"/>
  </r>
  <r>
    <n v="1458"/>
    <d v="2025-04-02T00:00:00"/>
    <x v="1"/>
    <x v="4"/>
    <n v="61846"/>
    <n v="9003"/>
    <n v="1"/>
  </r>
  <r>
    <n v="1459"/>
    <d v="2025-04-03T00:00:00"/>
    <x v="0"/>
    <x v="3"/>
    <n v="11640"/>
    <n v="3420"/>
    <n v="5"/>
  </r>
  <r>
    <n v="1460"/>
    <d v="2025-04-04T00:00:00"/>
    <x v="0"/>
    <x v="0"/>
    <n v="49547"/>
    <n v="9774"/>
    <n v="2"/>
  </r>
  <r>
    <n v="1461"/>
    <d v="2025-04-05T00:00:00"/>
    <x v="3"/>
    <x v="0"/>
    <n v="59620"/>
    <n v="11663"/>
    <n v="5"/>
  </r>
  <r>
    <n v="1462"/>
    <d v="2025-04-06T00:00:00"/>
    <x v="2"/>
    <x v="1"/>
    <n v="20317"/>
    <n v="14525"/>
    <n v="5"/>
  </r>
  <r>
    <n v="1463"/>
    <d v="2025-04-07T00:00:00"/>
    <x v="3"/>
    <x v="0"/>
    <n v="12564"/>
    <n v="9446"/>
    <n v="2"/>
  </r>
  <r>
    <n v="1464"/>
    <d v="2025-04-08T00:00:00"/>
    <x v="2"/>
    <x v="1"/>
    <n v="32345"/>
    <n v="12822"/>
    <n v="5"/>
  </r>
  <r>
    <n v="1465"/>
    <d v="2025-04-09T00:00:00"/>
    <x v="1"/>
    <x v="4"/>
    <n v="79859"/>
    <n v="13232"/>
    <n v="4"/>
  </r>
  <r>
    <n v="1466"/>
    <d v="2025-04-10T00:00:00"/>
    <x v="0"/>
    <x v="3"/>
    <n v="79038"/>
    <n v="6736"/>
    <n v="1"/>
  </r>
  <r>
    <n v="1467"/>
    <d v="2025-04-11T00:00:00"/>
    <x v="1"/>
    <x v="3"/>
    <n v="57393"/>
    <n v="6578"/>
    <n v="3"/>
  </r>
  <r>
    <n v="1468"/>
    <d v="2025-04-12T00:00:00"/>
    <x v="2"/>
    <x v="1"/>
    <n v="71081"/>
    <n v="14018"/>
    <n v="1"/>
  </r>
  <r>
    <n v="1469"/>
    <d v="2025-04-13T00:00:00"/>
    <x v="2"/>
    <x v="3"/>
    <n v="34430"/>
    <n v="852"/>
    <n v="5"/>
  </r>
  <r>
    <n v="1470"/>
    <d v="2025-04-14T00:00:00"/>
    <x v="1"/>
    <x v="0"/>
    <n v="32788"/>
    <n v="9594"/>
    <n v="4"/>
  </r>
  <r>
    <n v="1471"/>
    <d v="2025-04-15T00:00:00"/>
    <x v="2"/>
    <x v="2"/>
    <n v="53543"/>
    <n v="14143"/>
    <n v="7"/>
  </r>
  <r>
    <n v="1472"/>
    <d v="2025-04-16T00:00:00"/>
    <x v="1"/>
    <x v="1"/>
    <n v="18919"/>
    <n v="12580"/>
    <n v="5"/>
  </r>
  <r>
    <n v="1473"/>
    <d v="2025-04-17T00:00:00"/>
    <x v="0"/>
    <x v="3"/>
    <n v="74346"/>
    <n v="7505"/>
    <n v="4"/>
  </r>
  <r>
    <n v="1474"/>
    <d v="2025-04-18T00:00:00"/>
    <x v="1"/>
    <x v="1"/>
    <n v="44974"/>
    <n v="14536"/>
    <n v="2"/>
  </r>
  <r>
    <n v="1475"/>
    <d v="2025-04-19T00:00:00"/>
    <x v="0"/>
    <x v="1"/>
    <n v="21371"/>
    <n v="658"/>
    <n v="4"/>
  </r>
  <r>
    <n v="1476"/>
    <d v="2025-04-20T00:00:00"/>
    <x v="1"/>
    <x v="2"/>
    <n v="50084"/>
    <n v="10669"/>
    <n v="2"/>
  </r>
  <r>
    <n v="1477"/>
    <d v="2025-04-21T00:00:00"/>
    <x v="2"/>
    <x v="0"/>
    <n v="34629"/>
    <n v="1456"/>
    <n v="8"/>
  </r>
  <r>
    <n v="1478"/>
    <d v="2025-04-22T00:00:00"/>
    <x v="1"/>
    <x v="1"/>
    <n v="56184"/>
    <n v="2571"/>
    <n v="3"/>
  </r>
  <r>
    <n v="1479"/>
    <d v="2025-04-23T00:00:00"/>
    <x v="2"/>
    <x v="3"/>
    <n v="66916"/>
    <n v="9095"/>
    <n v="9"/>
  </r>
  <r>
    <n v="1480"/>
    <d v="2025-04-24T00:00:00"/>
    <x v="1"/>
    <x v="4"/>
    <n v="78972"/>
    <n v="13303"/>
    <n v="4"/>
  </r>
  <r>
    <n v="1481"/>
    <d v="2025-04-25T00:00:00"/>
    <x v="1"/>
    <x v="1"/>
    <n v="67187"/>
    <n v="11471"/>
    <n v="6"/>
  </r>
  <r>
    <n v="1482"/>
    <d v="2025-04-26T00:00:00"/>
    <x v="3"/>
    <x v="1"/>
    <n v="17984"/>
    <n v="10079"/>
    <n v="5"/>
  </r>
  <r>
    <n v="1483"/>
    <d v="2025-04-27T00:00:00"/>
    <x v="2"/>
    <x v="2"/>
    <n v="38039"/>
    <n v="3953"/>
    <n v="1"/>
  </r>
  <r>
    <n v="1484"/>
    <d v="2025-04-28T00:00:00"/>
    <x v="3"/>
    <x v="0"/>
    <n v="63606"/>
    <n v="7175"/>
    <n v="9"/>
  </r>
  <r>
    <n v="1485"/>
    <d v="2025-04-29T00:00:00"/>
    <x v="2"/>
    <x v="4"/>
    <n v="15616"/>
    <n v="1455"/>
    <n v="1"/>
  </r>
  <r>
    <n v="1486"/>
    <d v="2025-04-30T00:00:00"/>
    <x v="3"/>
    <x v="3"/>
    <n v="55072"/>
    <n v="6795"/>
    <n v="8"/>
  </r>
  <r>
    <n v="1487"/>
    <d v="2025-05-01T00:00:00"/>
    <x v="0"/>
    <x v="4"/>
    <n v="29574"/>
    <n v="2212"/>
    <n v="9"/>
  </r>
  <r>
    <n v="1488"/>
    <d v="2025-05-02T00:00:00"/>
    <x v="1"/>
    <x v="3"/>
    <n v="8430"/>
    <n v="5203"/>
    <n v="9"/>
  </r>
  <r>
    <n v="1489"/>
    <d v="2025-05-03T00:00:00"/>
    <x v="2"/>
    <x v="0"/>
    <n v="17676"/>
    <n v="7063"/>
    <n v="1"/>
  </r>
  <r>
    <n v="1490"/>
    <d v="2025-05-04T00:00:00"/>
    <x v="2"/>
    <x v="3"/>
    <n v="15816"/>
    <n v="9965"/>
    <n v="2"/>
  </r>
  <r>
    <n v="1491"/>
    <d v="2025-05-05T00:00:00"/>
    <x v="1"/>
    <x v="2"/>
    <n v="37733"/>
    <n v="6131"/>
    <n v="1"/>
  </r>
  <r>
    <n v="1492"/>
    <d v="2025-05-06T00:00:00"/>
    <x v="2"/>
    <x v="2"/>
    <n v="7050"/>
    <n v="12503"/>
    <n v="2"/>
  </r>
  <r>
    <n v="1493"/>
    <d v="2025-05-07T00:00:00"/>
    <x v="2"/>
    <x v="2"/>
    <n v="38933"/>
    <n v="11317"/>
    <n v="8"/>
  </r>
  <r>
    <n v="1494"/>
    <d v="2025-05-08T00:00:00"/>
    <x v="3"/>
    <x v="2"/>
    <n v="29951"/>
    <n v="11074"/>
    <n v="5"/>
  </r>
  <r>
    <n v="1495"/>
    <d v="2025-05-09T00:00:00"/>
    <x v="2"/>
    <x v="4"/>
    <n v="37413"/>
    <n v="10133"/>
    <n v="7"/>
  </r>
  <r>
    <n v="1496"/>
    <d v="2025-05-10T00:00:00"/>
    <x v="0"/>
    <x v="0"/>
    <n v="39801"/>
    <n v="11671"/>
    <n v="2"/>
  </r>
  <r>
    <n v="1497"/>
    <d v="2025-05-11T00:00:00"/>
    <x v="0"/>
    <x v="3"/>
    <n v="60619"/>
    <n v="10489"/>
    <n v="8"/>
  </r>
  <r>
    <n v="1498"/>
    <d v="2025-05-12T00:00:00"/>
    <x v="1"/>
    <x v="3"/>
    <n v="37913"/>
    <n v="13082"/>
    <n v="6"/>
  </r>
  <r>
    <n v="1499"/>
    <d v="2025-05-13T00:00:00"/>
    <x v="2"/>
    <x v="2"/>
    <n v="45600"/>
    <n v="12701"/>
    <n v="8"/>
  </r>
  <r>
    <n v="1500"/>
    <d v="2025-05-14T00:00:00"/>
    <x v="1"/>
    <x v="2"/>
    <n v="62775"/>
    <n v="1354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Q3:R23" firstHeaderRow="1" firstDataRow="1" firstDataCol="1"/>
  <pivotFields count="8">
    <pivotField showAll="0"/>
    <pivotField axis="axisRow"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items count="6">
        <item h="1" x="4"/>
        <item h="1" x="1"/>
        <item h="1" x="3"/>
        <item h="1" x="0"/>
        <item x="2"/>
        <item t="default"/>
      </items>
    </pivotField>
    <pivotField dataField="1" showAll="0"/>
    <pivotField showAll="0"/>
    <pivotField showAll="0"/>
    <pivotField axis="axisRow" showAll="0">
      <items count="5">
        <item x="0"/>
        <item x="1"/>
        <item x="2"/>
        <item x="3"/>
        <item t="default"/>
      </items>
    </pivotField>
  </pivotFields>
  <rowFields count="2">
    <field x="7"/>
    <field x="1"/>
  </rowFields>
  <rowItems count="20">
    <i>
      <x v="1"/>
    </i>
    <i r="1">
      <x v="1"/>
    </i>
    <i r="1">
      <x v="2"/>
    </i>
    <i r="1">
      <x v="3"/>
    </i>
    <i r="1">
      <x v="4"/>
    </i>
    <i r="1">
      <x v="5"/>
    </i>
    <i r="1">
      <x v="6"/>
    </i>
    <i r="1">
      <x v="7"/>
    </i>
    <i r="1">
      <x v="8"/>
    </i>
    <i r="1">
      <x v="9"/>
    </i>
    <i r="1">
      <x v="10"/>
    </i>
    <i r="1">
      <x v="11"/>
    </i>
    <i r="1">
      <x v="12"/>
    </i>
    <i>
      <x v="2"/>
    </i>
    <i r="1">
      <x v="1"/>
    </i>
    <i r="1">
      <x v="2"/>
    </i>
    <i r="1">
      <x v="3"/>
    </i>
    <i r="1">
      <x v="4"/>
    </i>
    <i r="1">
      <x v="5"/>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3:I9" firstHeaderRow="1" firstDataRow="1" firstDataCol="1"/>
  <pivotFields count="8">
    <pivotField showAll="0"/>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axis="axisRow" showAll="0" sortType="descending">
      <items count="6">
        <item x="4"/>
        <item x="1"/>
        <item x="3"/>
        <item x="0"/>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5">
        <item x="0"/>
        <item x="1"/>
        <item x="2"/>
        <item x="3"/>
        <item t="default"/>
      </items>
    </pivotField>
  </pivotFields>
  <rowFields count="1">
    <field x="3"/>
  </rowFields>
  <rowItems count="6">
    <i>
      <x v="3"/>
    </i>
    <i>
      <x v="2"/>
    </i>
    <i>
      <x/>
    </i>
    <i>
      <x v="1"/>
    </i>
    <i>
      <x v="4"/>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8" firstHeaderRow="1" firstDataRow="1" firstDataCol="1"/>
  <pivotFields count="8">
    <pivotField showAll="0"/>
    <pivotField numFmtId="14" showAll="0">
      <items count="15">
        <item x="0"/>
        <item x="1"/>
        <item x="2"/>
        <item x="3"/>
        <item x="4"/>
        <item x="5"/>
        <item x="6"/>
        <item x="7"/>
        <item x="8"/>
        <item x="9"/>
        <item x="10"/>
        <item x="11"/>
        <item x="12"/>
        <item x="13"/>
        <item t="default"/>
      </items>
    </pivotField>
    <pivotField axis="axisRow" showAll="0">
      <items count="5">
        <item x="0"/>
        <item x="2"/>
        <item x="3"/>
        <item x="1"/>
        <item t="default"/>
      </items>
    </pivotField>
    <pivotField showAll="0"/>
    <pivotField dataField="1" showAll="0"/>
    <pivotField showAll="0"/>
    <pivotField showAll="0"/>
    <pivotField showAll="0">
      <items count="5">
        <item x="0"/>
        <item x="1"/>
        <item x="2"/>
        <item x="3"/>
        <item t="default"/>
      </items>
    </pivotField>
  </pivotFields>
  <rowFields count="1">
    <field x="2"/>
  </rowFields>
  <rowItems count="5">
    <i>
      <x/>
    </i>
    <i>
      <x v="1"/>
    </i>
    <i>
      <x v="2"/>
    </i>
    <i>
      <x v="3"/>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4EBD5B-7136-4F87-83D6-653F256329ED}"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17:M23" firstHeaderRow="1" firstDataRow="1" firstDataCol="1"/>
  <pivotFields count="7">
    <pivotField showAll="0"/>
    <pivotField numFmtId="14" showAll="0"/>
    <pivotField showAll="0" sortType="descending">
      <items count="5">
        <item x="1"/>
        <item x="3"/>
        <item x="2"/>
        <item x="0"/>
        <item t="default"/>
      </items>
    </pivotField>
    <pivotField axis="axisRow" showAll="0" sortType="descending">
      <items count="6">
        <item x="2"/>
        <item x="0"/>
        <item x="3"/>
        <item x="1"/>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3"/>
  </rowFields>
  <rowItems count="6">
    <i>
      <x v="1"/>
    </i>
    <i>
      <x v="2"/>
    </i>
    <i>
      <x v="4"/>
    </i>
    <i>
      <x v="3"/>
    </i>
    <i>
      <x/>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5F20BC-833D-4370-8AAE-5EB7DB652EC4}"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O7:P12" firstHeaderRow="1" firstDataRow="1" firstDataCol="1"/>
  <pivotFields count="7">
    <pivotField showAll="0"/>
    <pivotField numFmtId="14" showAll="0"/>
    <pivotField axis="axisRow" showAll="0" sortType="descending">
      <items count="5">
        <item x="1"/>
        <item x="3"/>
        <item x="2"/>
        <item x="0"/>
        <item t="default"/>
      </items>
    </pivotField>
    <pivotField showAll="0"/>
    <pivotField dataField="1" showAll="0"/>
    <pivotField showAll="0"/>
    <pivotField showAll="0"/>
  </pivotFields>
  <rowFields count="1">
    <field x="2"/>
  </rowFields>
  <rowItems count="5">
    <i>
      <x/>
    </i>
    <i>
      <x v="1"/>
    </i>
    <i>
      <x v="2"/>
    </i>
    <i>
      <x v="3"/>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2000000}" sourceName="Product">
  <pivotTables>
    <pivotTable tabId="2" name="PivotTable3"/>
  </pivotTables>
  <data>
    <tabular pivotCacheId="782691470">
      <items count="5">
        <i x="4"/>
        <i x="1"/>
        <i x="3"/>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54CDD8E-26C4-470D-8DBF-4DC622A37EE3}" sourceName="Region">
  <pivotTables>
    <pivotTable tabId="2" name="PivotTable1"/>
    <pivotTable tabId="2" name="PivotTable2"/>
    <pivotTable tabId="2" name="PivotTable3"/>
  </pivotTables>
  <data>
    <tabular pivotCacheId="782691470">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0000000-0014-0000-FFFF-FFFF02000000}" cache="Slicer_Product" caption="Product" rowHeight="234950"/>
  <slicer name="Region" xr10:uid="{00000000-0014-0000-FFFF-FFFF01000000}"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494B5C4-447A-47FE-8393-A42F53C70AC7}" cache="Slicer_Region1"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G501" totalsRowShown="0">
  <autoFilter ref="A1:G501" xr:uid="{00000000-0009-0000-0100-000002000000}"/>
  <tableColumns count="7">
    <tableColumn id="1" xr3:uid="{00000000-0010-0000-0000-000001000000}" name="Order ID"/>
    <tableColumn id="2" xr3:uid="{00000000-0010-0000-0000-000002000000}" name="Date" dataDxfId="0"/>
    <tableColumn id="3" xr3:uid="{00000000-0010-0000-0000-000003000000}" name="Region"/>
    <tableColumn id="4" xr3:uid="{00000000-0010-0000-0000-000004000000}" name="Product"/>
    <tableColumn id="5" xr3:uid="{00000000-0010-0000-0000-000005000000}" name="Sales"/>
    <tableColumn id="6" xr3:uid="{00000000-0010-0000-0000-000006000000}" name="Profit"/>
    <tableColumn id="7" xr3:uid="{00000000-0010-0000-0000-000007000000}" name="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R23"/>
  <sheetViews>
    <sheetView topLeftCell="H5" workbookViewId="0">
      <selection activeCell="I9" sqref="I9"/>
    </sheetView>
  </sheetViews>
  <sheetFormatPr defaultRowHeight="14.4" x14ac:dyDescent="0.3"/>
  <cols>
    <col min="1" max="1" width="12.5546875" bestFit="1" customWidth="1"/>
    <col min="2" max="2" width="11.6640625" bestFit="1" customWidth="1"/>
    <col min="8" max="8" width="12.5546875" bestFit="1" customWidth="1"/>
    <col min="9" max="9" width="11.6640625" bestFit="1" customWidth="1"/>
    <col min="17" max="17" width="12.5546875" bestFit="1" customWidth="1"/>
    <col min="18" max="18" width="11.6640625" bestFit="1" customWidth="1"/>
  </cols>
  <sheetData>
    <row r="3" spans="1:18" x14ac:dyDescent="0.3">
      <c r="A3" s="3" t="s">
        <v>17</v>
      </c>
      <c r="B3" t="s">
        <v>16</v>
      </c>
      <c r="H3" s="3" t="s">
        <v>17</v>
      </c>
      <c r="I3" t="s">
        <v>16</v>
      </c>
      <c r="Q3" s="3" t="s">
        <v>17</v>
      </c>
      <c r="R3" t="s">
        <v>16</v>
      </c>
    </row>
    <row r="4" spans="1:18" x14ac:dyDescent="0.3">
      <c r="A4" s="4" t="s">
        <v>7</v>
      </c>
      <c r="B4" s="2">
        <v>4593846</v>
      </c>
      <c r="H4" s="4" t="s">
        <v>8</v>
      </c>
      <c r="I4" s="2">
        <v>4697841</v>
      </c>
      <c r="Q4" s="4" t="s">
        <v>19</v>
      </c>
      <c r="R4" s="2">
        <v>2337321</v>
      </c>
    </row>
    <row r="5" spans="1:18" x14ac:dyDescent="0.3">
      <c r="A5" s="4" t="s">
        <v>10</v>
      </c>
      <c r="B5" s="2">
        <v>5101439</v>
      </c>
      <c r="H5" s="4" t="s">
        <v>13</v>
      </c>
      <c r="I5" s="2">
        <v>4517292</v>
      </c>
      <c r="Q5" s="5" t="s">
        <v>20</v>
      </c>
      <c r="R5" s="2">
        <v>196821</v>
      </c>
    </row>
    <row r="6" spans="1:18" x14ac:dyDescent="0.3">
      <c r="A6" s="4" t="s">
        <v>14</v>
      </c>
      <c r="B6" s="2">
        <v>4390253</v>
      </c>
      <c r="H6" s="4" t="s">
        <v>15</v>
      </c>
      <c r="I6" s="2">
        <v>3886533</v>
      </c>
      <c r="Q6" s="5" t="s">
        <v>21</v>
      </c>
      <c r="R6" s="2">
        <v>165453</v>
      </c>
    </row>
    <row r="7" spans="1:18" x14ac:dyDescent="0.3">
      <c r="A7" s="4" t="s">
        <v>9</v>
      </c>
      <c r="B7" s="2">
        <v>6501385</v>
      </c>
      <c r="H7" s="4" t="s">
        <v>11</v>
      </c>
      <c r="I7" s="2">
        <v>3866857</v>
      </c>
      <c r="Q7" s="5" t="s">
        <v>22</v>
      </c>
      <c r="R7" s="2">
        <v>148421</v>
      </c>
    </row>
    <row r="8" spans="1:18" x14ac:dyDescent="0.3">
      <c r="A8" s="4" t="s">
        <v>18</v>
      </c>
      <c r="B8" s="2">
        <v>20586923</v>
      </c>
      <c r="H8" s="4" t="s">
        <v>12</v>
      </c>
      <c r="I8" s="2">
        <v>3618400</v>
      </c>
      <c r="Q8" s="5" t="s">
        <v>34</v>
      </c>
      <c r="R8" s="2">
        <v>65255</v>
      </c>
    </row>
    <row r="9" spans="1:18" x14ac:dyDescent="0.3">
      <c r="H9" s="4" t="s">
        <v>18</v>
      </c>
      <c r="I9" s="2">
        <v>20586923</v>
      </c>
      <c r="Q9" s="5" t="s">
        <v>23</v>
      </c>
      <c r="R9" s="2">
        <v>328351</v>
      </c>
    </row>
    <row r="10" spans="1:18" x14ac:dyDescent="0.3">
      <c r="Q10" s="5" t="s">
        <v>24</v>
      </c>
      <c r="R10" s="2">
        <v>139479</v>
      </c>
    </row>
    <row r="11" spans="1:18" x14ac:dyDescent="0.3">
      <c r="Q11" s="5" t="s">
        <v>25</v>
      </c>
      <c r="R11" s="2">
        <v>263667</v>
      </c>
    </row>
    <row r="12" spans="1:18" x14ac:dyDescent="0.3">
      <c r="Q12" s="5" t="s">
        <v>35</v>
      </c>
      <c r="R12" s="2">
        <v>174073</v>
      </c>
    </row>
    <row r="13" spans="1:18" x14ac:dyDescent="0.3">
      <c r="Q13" s="5" t="s">
        <v>26</v>
      </c>
      <c r="R13" s="2">
        <v>184548</v>
      </c>
    </row>
    <row r="14" spans="1:18" x14ac:dyDescent="0.3">
      <c r="Q14" s="5" t="s">
        <v>27</v>
      </c>
      <c r="R14" s="2">
        <v>161167</v>
      </c>
    </row>
    <row r="15" spans="1:18" x14ac:dyDescent="0.3">
      <c r="Q15" s="5" t="s">
        <v>36</v>
      </c>
      <c r="R15" s="2">
        <v>124704</v>
      </c>
    </row>
    <row r="16" spans="1:18" x14ac:dyDescent="0.3">
      <c r="Q16" s="5" t="s">
        <v>28</v>
      </c>
      <c r="R16" s="2">
        <v>385382</v>
      </c>
    </row>
    <row r="17" spans="17:18" x14ac:dyDescent="0.3">
      <c r="Q17" s="4" t="s">
        <v>29</v>
      </c>
      <c r="R17" s="2">
        <v>1281079</v>
      </c>
    </row>
    <row r="18" spans="17:18" x14ac:dyDescent="0.3">
      <c r="Q18" s="5" t="s">
        <v>20</v>
      </c>
      <c r="R18" s="2">
        <v>249030</v>
      </c>
    </row>
    <row r="19" spans="17:18" x14ac:dyDescent="0.3">
      <c r="Q19" s="5" t="s">
        <v>21</v>
      </c>
      <c r="R19" s="2">
        <v>251404</v>
      </c>
    </row>
    <row r="20" spans="17:18" x14ac:dyDescent="0.3">
      <c r="Q20" s="5" t="s">
        <v>22</v>
      </c>
      <c r="R20" s="2">
        <v>416937</v>
      </c>
    </row>
    <row r="21" spans="17:18" x14ac:dyDescent="0.3">
      <c r="Q21" s="5" t="s">
        <v>34</v>
      </c>
      <c r="R21" s="2">
        <v>141666</v>
      </c>
    </row>
    <row r="22" spans="17:18" x14ac:dyDescent="0.3">
      <c r="Q22" s="5" t="s">
        <v>23</v>
      </c>
      <c r="R22" s="2">
        <v>222042</v>
      </c>
    </row>
    <row r="23" spans="17:18" x14ac:dyDescent="0.3">
      <c r="Q23" s="4" t="s">
        <v>18</v>
      </c>
      <c r="R23" s="2">
        <v>3618400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F7"/>
  <sheetViews>
    <sheetView showGridLines="0" tabSelected="1" zoomScale="62" workbookViewId="0">
      <selection activeCell="N36" sqref="N36"/>
    </sheetView>
  </sheetViews>
  <sheetFormatPr defaultRowHeight="14.4" x14ac:dyDescent="0.3"/>
  <sheetData>
    <row r="7" spans="6:6" x14ac:dyDescent="0.3">
      <c r="F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01"/>
  <sheetViews>
    <sheetView topLeftCell="C2" workbookViewId="0">
      <selection activeCell="J23" sqref="J23"/>
    </sheetView>
  </sheetViews>
  <sheetFormatPr defaultRowHeight="14.4" x14ac:dyDescent="0.3"/>
  <cols>
    <col min="1" max="1" width="9.88671875" customWidth="1"/>
    <col min="2" max="2" width="10.33203125" bestFit="1" customWidth="1"/>
    <col min="4" max="4" width="9.5546875" customWidth="1"/>
    <col min="7" max="7" width="10.21875" customWidth="1"/>
    <col min="12" max="12" width="12.5546875" bestFit="1" customWidth="1"/>
    <col min="13" max="13" width="11.6640625" bestFit="1" customWidth="1"/>
    <col min="15" max="15" width="12.5546875" bestFit="1" customWidth="1"/>
    <col min="16" max="16" width="11.6640625" bestFit="1" customWidth="1"/>
  </cols>
  <sheetData>
    <row r="1" spans="1:16" x14ac:dyDescent="0.3">
      <c r="A1" t="s">
        <v>0</v>
      </c>
      <c r="B1" t="s">
        <v>1</v>
      </c>
      <c r="C1" t="s">
        <v>2</v>
      </c>
      <c r="D1" t="s">
        <v>3</v>
      </c>
      <c r="E1" t="s">
        <v>4</v>
      </c>
      <c r="F1" t="s">
        <v>5</v>
      </c>
      <c r="G1" t="s">
        <v>6</v>
      </c>
    </row>
    <row r="2" spans="1:16" x14ac:dyDescent="0.3">
      <c r="A2">
        <v>1001</v>
      </c>
      <c r="B2" s="1">
        <v>45292</v>
      </c>
      <c r="C2" t="s">
        <v>7</v>
      </c>
      <c r="D2" t="s">
        <v>8</v>
      </c>
      <c r="E2">
        <v>40854</v>
      </c>
      <c r="F2">
        <v>9396</v>
      </c>
      <c r="G2">
        <v>3</v>
      </c>
    </row>
    <row r="3" spans="1:16" x14ac:dyDescent="0.3">
      <c r="A3">
        <v>1002</v>
      </c>
      <c r="B3" s="1">
        <v>45293</v>
      </c>
      <c r="C3" t="s">
        <v>9</v>
      </c>
      <c r="D3" t="s">
        <v>8</v>
      </c>
      <c r="E3">
        <v>51271</v>
      </c>
      <c r="F3">
        <v>8673</v>
      </c>
      <c r="G3">
        <v>6</v>
      </c>
    </row>
    <row r="4" spans="1:16" x14ac:dyDescent="0.3">
      <c r="A4">
        <v>1003</v>
      </c>
      <c r="B4" s="1">
        <v>45294</v>
      </c>
      <c r="C4" t="s">
        <v>10</v>
      </c>
      <c r="D4" t="s">
        <v>11</v>
      </c>
      <c r="E4">
        <v>78688</v>
      </c>
      <c r="F4">
        <v>14786</v>
      </c>
      <c r="G4">
        <v>3</v>
      </c>
    </row>
    <row r="5" spans="1:16" x14ac:dyDescent="0.3">
      <c r="A5">
        <v>1004</v>
      </c>
      <c r="B5" s="1">
        <v>45295</v>
      </c>
      <c r="C5" t="s">
        <v>7</v>
      </c>
      <c r="D5" t="s">
        <v>12</v>
      </c>
      <c r="E5">
        <v>43518</v>
      </c>
      <c r="F5">
        <v>3132</v>
      </c>
      <c r="G5">
        <v>2</v>
      </c>
    </row>
    <row r="6" spans="1:16" x14ac:dyDescent="0.3">
      <c r="A6">
        <v>1005</v>
      </c>
      <c r="B6" s="1">
        <v>45296</v>
      </c>
      <c r="C6" t="s">
        <v>7</v>
      </c>
      <c r="D6" t="s">
        <v>13</v>
      </c>
      <c r="E6">
        <v>15267</v>
      </c>
      <c r="F6">
        <v>4994</v>
      </c>
      <c r="G6">
        <v>8</v>
      </c>
      <c r="J6">
        <f>SUM(Table2[Sales])</f>
        <v>20586923</v>
      </c>
      <c r="K6" t="s">
        <v>30</v>
      </c>
      <c r="O6" t="s">
        <v>32</v>
      </c>
    </row>
    <row r="7" spans="1:16" x14ac:dyDescent="0.3">
      <c r="A7">
        <v>1006</v>
      </c>
      <c r="B7" s="1">
        <v>45297</v>
      </c>
      <c r="C7" t="s">
        <v>9</v>
      </c>
      <c r="D7" t="s">
        <v>11</v>
      </c>
      <c r="E7">
        <v>6062</v>
      </c>
      <c r="F7">
        <v>8556</v>
      </c>
      <c r="G7">
        <v>5</v>
      </c>
      <c r="J7">
        <f>COUNTA(Table2[Order ID])</f>
        <v>500</v>
      </c>
      <c r="K7" t="s">
        <v>31</v>
      </c>
      <c r="O7" s="3" t="s">
        <v>17</v>
      </c>
      <c r="P7" t="s">
        <v>16</v>
      </c>
    </row>
    <row r="8" spans="1:16" x14ac:dyDescent="0.3">
      <c r="A8">
        <v>1007</v>
      </c>
      <c r="B8" s="1">
        <v>45298</v>
      </c>
      <c r="C8" t="s">
        <v>10</v>
      </c>
      <c r="D8" t="s">
        <v>13</v>
      </c>
      <c r="E8">
        <v>55448</v>
      </c>
      <c r="F8">
        <v>8011</v>
      </c>
      <c r="G8">
        <v>1</v>
      </c>
      <c r="O8" s="4" t="s">
        <v>9</v>
      </c>
      <c r="P8" s="2">
        <v>6501385</v>
      </c>
    </row>
    <row r="9" spans="1:16" x14ac:dyDescent="0.3">
      <c r="A9">
        <v>1008</v>
      </c>
      <c r="B9" s="1">
        <v>45299</v>
      </c>
      <c r="C9" t="s">
        <v>10</v>
      </c>
      <c r="D9" t="s">
        <v>13</v>
      </c>
      <c r="E9">
        <v>11229</v>
      </c>
      <c r="F9">
        <v>9655</v>
      </c>
      <c r="G9">
        <v>3</v>
      </c>
      <c r="O9" s="4" t="s">
        <v>14</v>
      </c>
      <c r="P9" s="2">
        <v>4390253</v>
      </c>
    </row>
    <row r="10" spans="1:16" x14ac:dyDescent="0.3">
      <c r="A10">
        <v>1009</v>
      </c>
      <c r="B10" s="1">
        <v>45300</v>
      </c>
      <c r="C10" t="s">
        <v>7</v>
      </c>
      <c r="D10" t="s">
        <v>12</v>
      </c>
      <c r="E10">
        <v>61793</v>
      </c>
      <c r="F10">
        <v>10926</v>
      </c>
      <c r="G10">
        <v>8</v>
      </c>
      <c r="O10" s="4" t="s">
        <v>10</v>
      </c>
      <c r="P10" s="2">
        <v>5101439</v>
      </c>
    </row>
    <row r="11" spans="1:16" x14ac:dyDescent="0.3">
      <c r="A11">
        <v>1010</v>
      </c>
      <c r="B11" s="1">
        <v>45301</v>
      </c>
      <c r="C11" t="s">
        <v>14</v>
      </c>
      <c r="D11" t="s">
        <v>13</v>
      </c>
      <c r="E11">
        <v>52915</v>
      </c>
      <c r="F11">
        <v>10733</v>
      </c>
      <c r="G11">
        <v>4</v>
      </c>
      <c r="O11" s="4" t="s">
        <v>7</v>
      </c>
      <c r="P11" s="2">
        <v>4593846</v>
      </c>
    </row>
    <row r="12" spans="1:16" x14ac:dyDescent="0.3">
      <c r="A12">
        <v>1011</v>
      </c>
      <c r="B12" s="1">
        <v>45302</v>
      </c>
      <c r="C12" t="s">
        <v>7</v>
      </c>
      <c r="D12" t="s">
        <v>13</v>
      </c>
      <c r="E12">
        <v>9632</v>
      </c>
      <c r="F12">
        <v>2328</v>
      </c>
      <c r="G12">
        <v>7</v>
      </c>
      <c r="O12" s="4" t="s">
        <v>18</v>
      </c>
      <c r="P12" s="2">
        <v>20586923</v>
      </c>
    </row>
    <row r="13" spans="1:16" x14ac:dyDescent="0.3">
      <c r="A13">
        <v>1012</v>
      </c>
      <c r="B13" s="1">
        <v>45303</v>
      </c>
      <c r="C13" t="s">
        <v>7</v>
      </c>
      <c r="D13" t="s">
        <v>12</v>
      </c>
      <c r="E13">
        <v>8596</v>
      </c>
      <c r="F13">
        <v>10800</v>
      </c>
      <c r="G13">
        <v>2</v>
      </c>
    </row>
    <row r="14" spans="1:16" x14ac:dyDescent="0.3">
      <c r="A14">
        <v>1013</v>
      </c>
      <c r="B14" s="1">
        <v>45304</v>
      </c>
      <c r="C14" t="s">
        <v>7</v>
      </c>
      <c r="D14" t="s">
        <v>13</v>
      </c>
      <c r="E14">
        <v>11168</v>
      </c>
      <c r="F14">
        <v>12760</v>
      </c>
      <c r="G14">
        <v>7</v>
      </c>
    </row>
    <row r="15" spans="1:16" x14ac:dyDescent="0.3">
      <c r="A15">
        <v>1014</v>
      </c>
      <c r="B15" s="1">
        <v>45305</v>
      </c>
      <c r="C15" t="s">
        <v>7</v>
      </c>
      <c r="D15" t="s">
        <v>13</v>
      </c>
      <c r="E15">
        <v>12561</v>
      </c>
      <c r="F15">
        <v>9630</v>
      </c>
      <c r="G15">
        <v>5</v>
      </c>
    </row>
    <row r="16" spans="1:16" x14ac:dyDescent="0.3">
      <c r="A16">
        <v>1015</v>
      </c>
      <c r="B16" s="1">
        <v>45306</v>
      </c>
      <c r="C16" t="s">
        <v>9</v>
      </c>
      <c r="D16" t="s">
        <v>13</v>
      </c>
      <c r="E16">
        <v>78794</v>
      </c>
      <c r="F16">
        <v>5305</v>
      </c>
      <c r="G16">
        <v>5</v>
      </c>
      <c r="L16" t="s">
        <v>33</v>
      </c>
    </row>
    <row r="17" spans="1:13" x14ac:dyDescent="0.3">
      <c r="A17">
        <v>1016</v>
      </c>
      <c r="B17" s="1">
        <v>45307</v>
      </c>
      <c r="C17" t="s">
        <v>10</v>
      </c>
      <c r="D17" t="s">
        <v>11</v>
      </c>
      <c r="E17">
        <v>31734</v>
      </c>
      <c r="F17">
        <v>1306</v>
      </c>
      <c r="G17">
        <v>6</v>
      </c>
      <c r="L17" s="3" t="s">
        <v>17</v>
      </c>
      <c r="M17" t="s">
        <v>16</v>
      </c>
    </row>
    <row r="18" spans="1:13" x14ac:dyDescent="0.3">
      <c r="A18">
        <v>1017</v>
      </c>
      <c r="B18" s="1">
        <v>45308</v>
      </c>
      <c r="C18" t="s">
        <v>9</v>
      </c>
      <c r="D18" t="s">
        <v>11</v>
      </c>
      <c r="E18">
        <v>11371</v>
      </c>
      <c r="F18">
        <v>10155</v>
      </c>
      <c r="G18">
        <v>9</v>
      </c>
      <c r="L18" s="4" t="s">
        <v>8</v>
      </c>
      <c r="M18" s="2">
        <v>4697841</v>
      </c>
    </row>
    <row r="19" spans="1:13" x14ac:dyDescent="0.3">
      <c r="A19">
        <v>1018</v>
      </c>
      <c r="B19" s="1">
        <v>45309</v>
      </c>
      <c r="C19" t="s">
        <v>9</v>
      </c>
      <c r="D19" t="s">
        <v>11</v>
      </c>
      <c r="E19">
        <v>31069</v>
      </c>
      <c r="F19">
        <v>7986</v>
      </c>
      <c r="G19">
        <v>6</v>
      </c>
      <c r="L19" s="4" t="s">
        <v>13</v>
      </c>
      <c r="M19" s="2">
        <v>4517292</v>
      </c>
    </row>
    <row r="20" spans="1:13" x14ac:dyDescent="0.3">
      <c r="A20">
        <v>1019</v>
      </c>
      <c r="B20" s="1">
        <v>45310</v>
      </c>
      <c r="C20" t="s">
        <v>9</v>
      </c>
      <c r="D20" t="s">
        <v>12</v>
      </c>
      <c r="E20">
        <v>17910</v>
      </c>
      <c r="F20">
        <v>14113</v>
      </c>
      <c r="G20">
        <v>8</v>
      </c>
      <c r="L20" s="4" t="s">
        <v>15</v>
      </c>
      <c r="M20" s="2">
        <v>3886533</v>
      </c>
    </row>
    <row r="21" spans="1:13" x14ac:dyDescent="0.3">
      <c r="A21">
        <v>1020</v>
      </c>
      <c r="B21" s="1">
        <v>45311</v>
      </c>
      <c r="C21" t="s">
        <v>7</v>
      </c>
      <c r="D21" t="s">
        <v>8</v>
      </c>
      <c r="E21">
        <v>78479</v>
      </c>
      <c r="F21">
        <v>12107</v>
      </c>
      <c r="G21">
        <v>7</v>
      </c>
      <c r="L21" s="4" t="s">
        <v>11</v>
      </c>
      <c r="M21" s="2">
        <v>3866857</v>
      </c>
    </row>
    <row r="22" spans="1:13" x14ac:dyDescent="0.3">
      <c r="A22">
        <v>1021</v>
      </c>
      <c r="B22" s="1">
        <v>45312</v>
      </c>
      <c r="C22" t="s">
        <v>14</v>
      </c>
      <c r="D22" t="s">
        <v>13</v>
      </c>
      <c r="E22">
        <v>28275</v>
      </c>
      <c r="F22">
        <v>8702</v>
      </c>
      <c r="G22">
        <v>9</v>
      </c>
      <c r="L22" s="4" t="s">
        <v>12</v>
      </c>
      <c r="M22" s="2">
        <v>3618400</v>
      </c>
    </row>
    <row r="23" spans="1:13" x14ac:dyDescent="0.3">
      <c r="A23">
        <v>1022</v>
      </c>
      <c r="B23" s="1">
        <v>45313</v>
      </c>
      <c r="C23" t="s">
        <v>10</v>
      </c>
      <c r="D23" t="s">
        <v>13</v>
      </c>
      <c r="E23">
        <v>77274</v>
      </c>
      <c r="F23">
        <v>13873</v>
      </c>
      <c r="G23">
        <v>4</v>
      </c>
      <c r="L23" s="4" t="s">
        <v>18</v>
      </c>
      <c r="M23" s="2">
        <v>20586923</v>
      </c>
    </row>
    <row r="24" spans="1:13" x14ac:dyDescent="0.3">
      <c r="A24">
        <v>1023</v>
      </c>
      <c r="B24" s="1">
        <v>45314</v>
      </c>
      <c r="C24" t="s">
        <v>14</v>
      </c>
      <c r="D24" t="s">
        <v>12</v>
      </c>
      <c r="E24">
        <v>65004</v>
      </c>
      <c r="F24">
        <v>2368</v>
      </c>
      <c r="G24">
        <v>2</v>
      </c>
    </row>
    <row r="25" spans="1:13" x14ac:dyDescent="0.3">
      <c r="A25">
        <v>1024</v>
      </c>
      <c r="B25" s="1">
        <v>45315</v>
      </c>
      <c r="C25" t="s">
        <v>9</v>
      </c>
      <c r="D25" t="s">
        <v>13</v>
      </c>
      <c r="E25">
        <v>67981</v>
      </c>
      <c r="F25">
        <v>8378</v>
      </c>
      <c r="G25">
        <v>7</v>
      </c>
    </row>
    <row r="26" spans="1:13" x14ac:dyDescent="0.3">
      <c r="A26">
        <v>1025</v>
      </c>
      <c r="B26" s="1">
        <v>45316</v>
      </c>
      <c r="C26" t="s">
        <v>9</v>
      </c>
      <c r="D26" t="s">
        <v>11</v>
      </c>
      <c r="E26">
        <v>59553</v>
      </c>
      <c r="F26">
        <v>13559</v>
      </c>
      <c r="G26">
        <v>6</v>
      </c>
    </row>
    <row r="27" spans="1:13" x14ac:dyDescent="0.3">
      <c r="A27">
        <v>1026</v>
      </c>
      <c r="B27" s="1">
        <v>45317</v>
      </c>
      <c r="C27" t="s">
        <v>14</v>
      </c>
      <c r="D27" t="s">
        <v>8</v>
      </c>
      <c r="E27">
        <v>53447</v>
      </c>
      <c r="F27">
        <v>6190</v>
      </c>
      <c r="G27">
        <v>1</v>
      </c>
    </row>
    <row r="28" spans="1:13" x14ac:dyDescent="0.3">
      <c r="A28">
        <v>1027</v>
      </c>
      <c r="B28" s="1">
        <v>45318</v>
      </c>
      <c r="C28" t="s">
        <v>14</v>
      </c>
      <c r="D28" t="s">
        <v>15</v>
      </c>
      <c r="E28">
        <v>39529</v>
      </c>
      <c r="F28">
        <v>14395</v>
      </c>
      <c r="G28">
        <v>9</v>
      </c>
    </row>
    <row r="29" spans="1:13" x14ac:dyDescent="0.3">
      <c r="A29">
        <v>1028</v>
      </c>
      <c r="B29" s="1">
        <v>45319</v>
      </c>
      <c r="C29" t="s">
        <v>14</v>
      </c>
      <c r="D29" t="s">
        <v>13</v>
      </c>
      <c r="E29">
        <v>22260</v>
      </c>
      <c r="F29">
        <v>8327</v>
      </c>
      <c r="G29">
        <v>9</v>
      </c>
    </row>
    <row r="30" spans="1:13" x14ac:dyDescent="0.3">
      <c r="A30">
        <v>1029</v>
      </c>
      <c r="B30" s="1">
        <v>45320</v>
      </c>
      <c r="C30" t="s">
        <v>9</v>
      </c>
      <c r="D30" t="s">
        <v>11</v>
      </c>
      <c r="E30">
        <v>8812</v>
      </c>
      <c r="F30">
        <v>5929</v>
      </c>
      <c r="G30">
        <v>2</v>
      </c>
    </row>
    <row r="31" spans="1:13" x14ac:dyDescent="0.3">
      <c r="A31">
        <v>1030</v>
      </c>
      <c r="B31" s="1">
        <v>45321</v>
      </c>
      <c r="C31" t="s">
        <v>9</v>
      </c>
      <c r="D31" t="s">
        <v>15</v>
      </c>
      <c r="E31">
        <v>33024</v>
      </c>
      <c r="F31">
        <v>9576</v>
      </c>
      <c r="G31">
        <v>3</v>
      </c>
    </row>
    <row r="32" spans="1:13" x14ac:dyDescent="0.3">
      <c r="A32">
        <v>1031</v>
      </c>
      <c r="B32" s="1">
        <v>45322</v>
      </c>
      <c r="C32" t="s">
        <v>10</v>
      </c>
      <c r="D32" t="s">
        <v>8</v>
      </c>
      <c r="E32">
        <v>63656</v>
      </c>
      <c r="F32">
        <v>4064</v>
      </c>
      <c r="G32">
        <v>5</v>
      </c>
    </row>
    <row r="33" spans="1:7" x14ac:dyDescent="0.3">
      <c r="A33">
        <v>1032</v>
      </c>
      <c r="B33" s="1">
        <v>45323</v>
      </c>
      <c r="C33" t="s">
        <v>10</v>
      </c>
      <c r="D33" t="s">
        <v>15</v>
      </c>
      <c r="E33">
        <v>32285</v>
      </c>
      <c r="F33">
        <v>1889</v>
      </c>
      <c r="G33">
        <v>5</v>
      </c>
    </row>
    <row r="34" spans="1:7" x14ac:dyDescent="0.3">
      <c r="A34">
        <v>1033</v>
      </c>
      <c r="B34" s="1">
        <v>45324</v>
      </c>
      <c r="C34" t="s">
        <v>9</v>
      </c>
      <c r="D34" t="s">
        <v>11</v>
      </c>
      <c r="E34">
        <v>6605</v>
      </c>
      <c r="F34">
        <v>12093</v>
      </c>
      <c r="G34">
        <v>1</v>
      </c>
    </row>
    <row r="35" spans="1:7" x14ac:dyDescent="0.3">
      <c r="A35">
        <v>1034</v>
      </c>
      <c r="B35" s="1">
        <v>45325</v>
      </c>
      <c r="C35" t="s">
        <v>14</v>
      </c>
      <c r="D35" t="s">
        <v>15</v>
      </c>
      <c r="E35">
        <v>76158</v>
      </c>
      <c r="F35">
        <v>7774</v>
      </c>
      <c r="G35">
        <v>8</v>
      </c>
    </row>
    <row r="36" spans="1:7" x14ac:dyDescent="0.3">
      <c r="A36">
        <v>1035</v>
      </c>
      <c r="B36" s="1">
        <v>45326</v>
      </c>
      <c r="C36" t="s">
        <v>14</v>
      </c>
      <c r="D36" t="s">
        <v>12</v>
      </c>
      <c r="E36">
        <v>77303</v>
      </c>
      <c r="F36">
        <v>13013</v>
      </c>
      <c r="G36">
        <v>8</v>
      </c>
    </row>
    <row r="37" spans="1:7" x14ac:dyDescent="0.3">
      <c r="A37">
        <v>1036</v>
      </c>
      <c r="B37" s="1">
        <v>45327</v>
      </c>
      <c r="C37" t="s">
        <v>10</v>
      </c>
      <c r="D37" t="s">
        <v>15</v>
      </c>
      <c r="E37">
        <v>32139</v>
      </c>
      <c r="F37">
        <v>1324</v>
      </c>
      <c r="G37">
        <v>4</v>
      </c>
    </row>
    <row r="38" spans="1:7" x14ac:dyDescent="0.3">
      <c r="A38">
        <v>1037</v>
      </c>
      <c r="B38" s="1">
        <v>45328</v>
      </c>
      <c r="C38" t="s">
        <v>9</v>
      </c>
      <c r="D38" t="s">
        <v>13</v>
      </c>
      <c r="E38">
        <v>61138</v>
      </c>
      <c r="F38">
        <v>2765</v>
      </c>
      <c r="G38">
        <v>7</v>
      </c>
    </row>
    <row r="39" spans="1:7" x14ac:dyDescent="0.3">
      <c r="A39">
        <v>1038</v>
      </c>
      <c r="B39" s="1">
        <v>45329</v>
      </c>
      <c r="C39" t="s">
        <v>10</v>
      </c>
      <c r="D39" t="s">
        <v>13</v>
      </c>
      <c r="E39">
        <v>18918</v>
      </c>
      <c r="F39">
        <v>1436</v>
      </c>
      <c r="G39">
        <v>3</v>
      </c>
    </row>
    <row r="40" spans="1:7" x14ac:dyDescent="0.3">
      <c r="A40">
        <v>1039</v>
      </c>
      <c r="B40" s="1">
        <v>45330</v>
      </c>
      <c r="C40" t="s">
        <v>10</v>
      </c>
      <c r="D40" t="s">
        <v>12</v>
      </c>
      <c r="E40">
        <v>32446</v>
      </c>
      <c r="F40">
        <v>11492</v>
      </c>
      <c r="G40">
        <v>6</v>
      </c>
    </row>
    <row r="41" spans="1:7" x14ac:dyDescent="0.3">
      <c r="A41">
        <v>1040</v>
      </c>
      <c r="B41" s="1">
        <v>45331</v>
      </c>
      <c r="C41" t="s">
        <v>7</v>
      </c>
      <c r="D41" t="s">
        <v>11</v>
      </c>
      <c r="E41">
        <v>18046</v>
      </c>
      <c r="F41">
        <v>11245</v>
      </c>
      <c r="G41">
        <v>9</v>
      </c>
    </row>
    <row r="42" spans="1:7" x14ac:dyDescent="0.3">
      <c r="A42">
        <v>1041</v>
      </c>
      <c r="B42" s="1">
        <v>45332</v>
      </c>
      <c r="C42" t="s">
        <v>7</v>
      </c>
      <c r="D42" t="s">
        <v>13</v>
      </c>
      <c r="E42">
        <v>29818</v>
      </c>
      <c r="F42">
        <v>6902</v>
      </c>
      <c r="G42">
        <v>1</v>
      </c>
    </row>
    <row r="43" spans="1:7" x14ac:dyDescent="0.3">
      <c r="A43">
        <v>1042</v>
      </c>
      <c r="B43" s="1">
        <v>45333</v>
      </c>
      <c r="C43" t="s">
        <v>7</v>
      </c>
      <c r="D43" t="s">
        <v>8</v>
      </c>
      <c r="E43">
        <v>9324</v>
      </c>
      <c r="F43">
        <v>14699</v>
      </c>
      <c r="G43">
        <v>5</v>
      </c>
    </row>
    <row r="44" spans="1:7" x14ac:dyDescent="0.3">
      <c r="A44">
        <v>1043</v>
      </c>
      <c r="B44" s="1">
        <v>45334</v>
      </c>
      <c r="C44" t="s">
        <v>14</v>
      </c>
      <c r="D44" t="s">
        <v>13</v>
      </c>
      <c r="E44">
        <v>14111</v>
      </c>
      <c r="F44">
        <v>4345</v>
      </c>
      <c r="G44">
        <v>4</v>
      </c>
    </row>
    <row r="45" spans="1:7" x14ac:dyDescent="0.3">
      <c r="A45">
        <v>1044</v>
      </c>
      <c r="B45" s="1">
        <v>45335</v>
      </c>
      <c r="C45" t="s">
        <v>9</v>
      </c>
      <c r="D45" t="s">
        <v>13</v>
      </c>
      <c r="E45">
        <v>43110</v>
      </c>
      <c r="F45">
        <v>2296</v>
      </c>
      <c r="G45">
        <v>8</v>
      </c>
    </row>
    <row r="46" spans="1:7" x14ac:dyDescent="0.3">
      <c r="A46">
        <v>1045</v>
      </c>
      <c r="B46" s="1">
        <v>45336</v>
      </c>
      <c r="C46" t="s">
        <v>9</v>
      </c>
      <c r="D46" t="s">
        <v>11</v>
      </c>
      <c r="E46">
        <v>21389</v>
      </c>
      <c r="F46">
        <v>8745</v>
      </c>
      <c r="G46">
        <v>1</v>
      </c>
    </row>
    <row r="47" spans="1:7" x14ac:dyDescent="0.3">
      <c r="A47">
        <v>1046</v>
      </c>
      <c r="B47" s="1">
        <v>45337</v>
      </c>
      <c r="C47" t="s">
        <v>9</v>
      </c>
      <c r="D47" t="s">
        <v>15</v>
      </c>
      <c r="E47">
        <v>46427</v>
      </c>
      <c r="F47">
        <v>7714</v>
      </c>
      <c r="G47">
        <v>9</v>
      </c>
    </row>
    <row r="48" spans="1:7" x14ac:dyDescent="0.3">
      <c r="A48">
        <v>1047</v>
      </c>
      <c r="B48" s="1">
        <v>45338</v>
      </c>
      <c r="C48" t="s">
        <v>9</v>
      </c>
      <c r="D48" t="s">
        <v>13</v>
      </c>
      <c r="E48">
        <v>33746</v>
      </c>
      <c r="F48">
        <v>1226</v>
      </c>
      <c r="G48">
        <v>6</v>
      </c>
    </row>
    <row r="49" spans="1:7" x14ac:dyDescent="0.3">
      <c r="A49">
        <v>1048</v>
      </c>
      <c r="B49" s="1">
        <v>45339</v>
      </c>
      <c r="C49" t="s">
        <v>7</v>
      </c>
      <c r="D49" t="s">
        <v>12</v>
      </c>
      <c r="E49">
        <v>5117</v>
      </c>
      <c r="F49">
        <v>3236</v>
      </c>
      <c r="G49">
        <v>4</v>
      </c>
    </row>
    <row r="50" spans="1:7" x14ac:dyDescent="0.3">
      <c r="A50">
        <v>1049</v>
      </c>
      <c r="B50" s="1">
        <v>45340</v>
      </c>
      <c r="C50" t="s">
        <v>14</v>
      </c>
      <c r="D50" t="s">
        <v>15</v>
      </c>
      <c r="E50">
        <v>18234</v>
      </c>
      <c r="F50">
        <v>14332</v>
      </c>
      <c r="G50">
        <v>9</v>
      </c>
    </row>
    <row r="51" spans="1:7" x14ac:dyDescent="0.3">
      <c r="A51">
        <v>1050</v>
      </c>
      <c r="B51" s="1">
        <v>45341</v>
      </c>
      <c r="C51" t="s">
        <v>14</v>
      </c>
      <c r="D51" t="s">
        <v>8</v>
      </c>
      <c r="E51">
        <v>58441</v>
      </c>
      <c r="F51">
        <v>11862</v>
      </c>
      <c r="G51">
        <v>5</v>
      </c>
    </row>
    <row r="52" spans="1:7" x14ac:dyDescent="0.3">
      <c r="A52">
        <v>1051</v>
      </c>
      <c r="B52" s="1">
        <v>45342</v>
      </c>
      <c r="C52" t="s">
        <v>7</v>
      </c>
      <c r="D52" t="s">
        <v>11</v>
      </c>
      <c r="E52">
        <v>5846</v>
      </c>
      <c r="F52">
        <v>13831</v>
      </c>
      <c r="G52">
        <v>5</v>
      </c>
    </row>
    <row r="53" spans="1:7" x14ac:dyDescent="0.3">
      <c r="A53">
        <v>1052</v>
      </c>
      <c r="B53" s="1">
        <v>45343</v>
      </c>
      <c r="C53" t="s">
        <v>14</v>
      </c>
      <c r="D53" t="s">
        <v>8</v>
      </c>
      <c r="E53">
        <v>15954</v>
      </c>
      <c r="F53">
        <v>2413</v>
      </c>
      <c r="G53">
        <v>5</v>
      </c>
    </row>
    <row r="54" spans="1:7" x14ac:dyDescent="0.3">
      <c r="A54">
        <v>1053</v>
      </c>
      <c r="B54" s="1">
        <v>45344</v>
      </c>
      <c r="C54" t="s">
        <v>7</v>
      </c>
      <c r="D54" t="s">
        <v>15</v>
      </c>
      <c r="E54">
        <v>51514</v>
      </c>
      <c r="F54">
        <v>14564</v>
      </c>
      <c r="G54">
        <v>1</v>
      </c>
    </row>
    <row r="55" spans="1:7" x14ac:dyDescent="0.3">
      <c r="A55">
        <v>1054</v>
      </c>
      <c r="B55" s="1">
        <v>45345</v>
      </c>
      <c r="C55" t="s">
        <v>9</v>
      </c>
      <c r="D55" t="s">
        <v>15</v>
      </c>
      <c r="E55">
        <v>11469</v>
      </c>
      <c r="F55">
        <v>10288</v>
      </c>
      <c r="G55">
        <v>1</v>
      </c>
    </row>
    <row r="56" spans="1:7" x14ac:dyDescent="0.3">
      <c r="A56">
        <v>1055</v>
      </c>
      <c r="B56" s="1">
        <v>45346</v>
      </c>
      <c r="C56" t="s">
        <v>7</v>
      </c>
      <c r="D56" t="s">
        <v>15</v>
      </c>
      <c r="E56">
        <v>35105</v>
      </c>
      <c r="F56">
        <v>10606</v>
      </c>
      <c r="G56">
        <v>8</v>
      </c>
    </row>
    <row r="57" spans="1:7" x14ac:dyDescent="0.3">
      <c r="A57">
        <v>1056</v>
      </c>
      <c r="B57" s="1">
        <v>45347</v>
      </c>
      <c r="C57" t="s">
        <v>9</v>
      </c>
      <c r="D57" t="s">
        <v>8</v>
      </c>
      <c r="E57">
        <v>47101</v>
      </c>
      <c r="F57">
        <v>8157</v>
      </c>
      <c r="G57">
        <v>8</v>
      </c>
    </row>
    <row r="58" spans="1:7" x14ac:dyDescent="0.3">
      <c r="A58">
        <v>1057</v>
      </c>
      <c r="B58" s="1">
        <v>45348</v>
      </c>
      <c r="C58" t="s">
        <v>9</v>
      </c>
      <c r="D58" t="s">
        <v>15</v>
      </c>
      <c r="E58">
        <v>69323</v>
      </c>
      <c r="F58">
        <v>2966</v>
      </c>
      <c r="G58">
        <v>6</v>
      </c>
    </row>
    <row r="59" spans="1:7" x14ac:dyDescent="0.3">
      <c r="A59">
        <v>1058</v>
      </c>
      <c r="B59" s="1">
        <v>45349</v>
      </c>
      <c r="C59" t="s">
        <v>10</v>
      </c>
      <c r="D59" t="s">
        <v>8</v>
      </c>
      <c r="E59">
        <v>63067</v>
      </c>
      <c r="F59">
        <v>11429</v>
      </c>
      <c r="G59">
        <v>4</v>
      </c>
    </row>
    <row r="60" spans="1:7" x14ac:dyDescent="0.3">
      <c r="A60">
        <v>1059</v>
      </c>
      <c r="B60" s="1">
        <v>45350</v>
      </c>
      <c r="C60" t="s">
        <v>7</v>
      </c>
      <c r="D60" t="s">
        <v>15</v>
      </c>
      <c r="E60">
        <v>54376</v>
      </c>
      <c r="F60">
        <v>9541</v>
      </c>
      <c r="G60">
        <v>2</v>
      </c>
    </row>
    <row r="61" spans="1:7" x14ac:dyDescent="0.3">
      <c r="A61">
        <v>1060</v>
      </c>
      <c r="B61" s="1">
        <v>45351</v>
      </c>
      <c r="C61" t="s">
        <v>10</v>
      </c>
      <c r="D61" t="s">
        <v>12</v>
      </c>
      <c r="E61">
        <v>50587</v>
      </c>
      <c r="F61">
        <v>10801</v>
      </c>
      <c r="G61">
        <v>2</v>
      </c>
    </row>
    <row r="62" spans="1:7" x14ac:dyDescent="0.3">
      <c r="A62">
        <v>1061</v>
      </c>
      <c r="B62" s="1">
        <v>45352</v>
      </c>
      <c r="C62" t="s">
        <v>7</v>
      </c>
      <c r="D62" t="s">
        <v>15</v>
      </c>
      <c r="E62">
        <v>41976</v>
      </c>
      <c r="F62">
        <v>7812</v>
      </c>
      <c r="G62">
        <v>9</v>
      </c>
    </row>
    <row r="63" spans="1:7" x14ac:dyDescent="0.3">
      <c r="A63">
        <v>1062</v>
      </c>
      <c r="B63" s="1">
        <v>45353</v>
      </c>
      <c r="C63" t="s">
        <v>7</v>
      </c>
      <c r="D63" t="s">
        <v>8</v>
      </c>
      <c r="E63">
        <v>72584</v>
      </c>
      <c r="F63">
        <v>8694</v>
      </c>
      <c r="G63">
        <v>5</v>
      </c>
    </row>
    <row r="64" spans="1:7" x14ac:dyDescent="0.3">
      <c r="A64">
        <v>1063</v>
      </c>
      <c r="B64" s="1">
        <v>45354</v>
      </c>
      <c r="C64" t="s">
        <v>10</v>
      </c>
      <c r="D64" t="s">
        <v>13</v>
      </c>
      <c r="E64">
        <v>47533</v>
      </c>
      <c r="F64">
        <v>12947</v>
      </c>
      <c r="G64">
        <v>4</v>
      </c>
    </row>
    <row r="65" spans="1:7" x14ac:dyDescent="0.3">
      <c r="A65">
        <v>1064</v>
      </c>
      <c r="B65" s="1">
        <v>45355</v>
      </c>
      <c r="C65" t="s">
        <v>10</v>
      </c>
      <c r="D65" t="s">
        <v>15</v>
      </c>
      <c r="E65">
        <v>6828</v>
      </c>
      <c r="F65">
        <v>8406</v>
      </c>
      <c r="G65">
        <v>1</v>
      </c>
    </row>
    <row r="66" spans="1:7" x14ac:dyDescent="0.3">
      <c r="A66">
        <v>1065</v>
      </c>
      <c r="B66" s="1">
        <v>45356</v>
      </c>
      <c r="C66" t="s">
        <v>7</v>
      </c>
      <c r="D66" t="s">
        <v>13</v>
      </c>
      <c r="E66">
        <v>6917</v>
      </c>
      <c r="F66">
        <v>12761</v>
      </c>
      <c r="G66">
        <v>7</v>
      </c>
    </row>
    <row r="67" spans="1:7" x14ac:dyDescent="0.3">
      <c r="A67">
        <v>1066</v>
      </c>
      <c r="B67" s="1">
        <v>45357</v>
      </c>
      <c r="C67" t="s">
        <v>14</v>
      </c>
      <c r="D67" t="s">
        <v>12</v>
      </c>
      <c r="E67">
        <v>25618</v>
      </c>
      <c r="F67">
        <v>5376</v>
      </c>
      <c r="G67">
        <v>3</v>
      </c>
    </row>
    <row r="68" spans="1:7" x14ac:dyDescent="0.3">
      <c r="A68">
        <v>1067</v>
      </c>
      <c r="B68" s="1">
        <v>45358</v>
      </c>
      <c r="C68" t="s">
        <v>9</v>
      </c>
      <c r="D68" t="s">
        <v>11</v>
      </c>
      <c r="E68">
        <v>37254</v>
      </c>
      <c r="F68">
        <v>7787</v>
      </c>
      <c r="G68">
        <v>6</v>
      </c>
    </row>
    <row r="69" spans="1:7" x14ac:dyDescent="0.3">
      <c r="A69">
        <v>1068</v>
      </c>
      <c r="B69" s="1">
        <v>45359</v>
      </c>
      <c r="C69" t="s">
        <v>10</v>
      </c>
      <c r="D69" t="s">
        <v>12</v>
      </c>
      <c r="E69">
        <v>52362</v>
      </c>
      <c r="F69">
        <v>1392</v>
      </c>
      <c r="G69">
        <v>5</v>
      </c>
    </row>
    <row r="70" spans="1:7" x14ac:dyDescent="0.3">
      <c r="A70">
        <v>1069</v>
      </c>
      <c r="B70" s="1">
        <v>45360</v>
      </c>
      <c r="C70" t="s">
        <v>9</v>
      </c>
      <c r="D70" t="s">
        <v>15</v>
      </c>
      <c r="E70">
        <v>25128</v>
      </c>
      <c r="F70">
        <v>10722</v>
      </c>
      <c r="G70">
        <v>5</v>
      </c>
    </row>
    <row r="71" spans="1:7" x14ac:dyDescent="0.3">
      <c r="A71">
        <v>1070</v>
      </c>
      <c r="B71" s="1">
        <v>45361</v>
      </c>
      <c r="C71" t="s">
        <v>14</v>
      </c>
      <c r="D71" t="s">
        <v>13</v>
      </c>
      <c r="E71">
        <v>64383</v>
      </c>
      <c r="F71">
        <v>11852</v>
      </c>
      <c r="G71">
        <v>5</v>
      </c>
    </row>
    <row r="72" spans="1:7" x14ac:dyDescent="0.3">
      <c r="A72">
        <v>1071</v>
      </c>
      <c r="B72" s="1">
        <v>45362</v>
      </c>
      <c r="C72" t="s">
        <v>14</v>
      </c>
      <c r="D72" t="s">
        <v>13</v>
      </c>
      <c r="E72">
        <v>70545</v>
      </c>
      <c r="F72">
        <v>11068</v>
      </c>
      <c r="G72">
        <v>1</v>
      </c>
    </row>
    <row r="73" spans="1:7" x14ac:dyDescent="0.3">
      <c r="A73">
        <v>1072</v>
      </c>
      <c r="B73" s="1">
        <v>45363</v>
      </c>
      <c r="C73" t="s">
        <v>14</v>
      </c>
      <c r="D73" t="s">
        <v>8</v>
      </c>
      <c r="E73">
        <v>14865</v>
      </c>
      <c r="F73">
        <v>5175</v>
      </c>
      <c r="G73">
        <v>1</v>
      </c>
    </row>
    <row r="74" spans="1:7" x14ac:dyDescent="0.3">
      <c r="A74">
        <v>1073</v>
      </c>
      <c r="B74" s="1">
        <v>45364</v>
      </c>
      <c r="C74" t="s">
        <v>10</v>
      </c>
      <c r="D74" t="s">
        <v>13</v>
      </c>
      <c r="E74">
        <v>7219</v>
      </c>
      <c r="F74">
        <v>2433</v>
      </c>
      <c r="G74">
        <v>3</v>
      </c>
    </row>
    <row r="75" spans="1:7" x14ac:dyDescent="0.3">
      <c r="A75">
        <v>1074</v>
      </c>
      <c r="B75" s="1">
        <v>45365</v>
      </c>
      <c r="C75" t="s">
        <v>14</v>
      </c>
      <c r="D75" t="s">
        <v>8</v>
      </c>
      <c r="E75">
        <v>44809</v>
      </c>
      <c r="F75">
        <v>1880</v>
      </c>
      <c r="G75">
        <v>4</v>
      </c>
    </row>
    <row r="76" spans="1:7" x14ac:dyDescent="0.3">
      <c r="A76">
        <v>1075</v>
      </c>
      <c r="B76" s="1">
        <v>45366</v>
      </c>
      <c r="C76" t="s">
        <v>10</v>
      </c>
      <c r="D76" t="s">
        <v>11</v>
      </c>
      <c r="E76">
        <v>10287</v>
      </c>
      <c r="F76">
        <v>12373</v>
      </c>
      <c r="G76">
        <v>5</v>
      </c>
    </row>
    <row r="77" spans="1:7" x14ac:dyDescent="0.3">
      <c r="A77">
        <v>1076</v>
      </c>
      <c r="B77" s="1">
        <v>45367</v>
      </c>
      <c r="C77" t="s">
        <v>14</v>
      </c>
      <c r="D77" t="s">
        <v>15</v>
      </c>
      <c r="E77">
        <v>39387</v>
      </c>
      <c r="F77">
        <v>1790</v>
      </c>
      <c r="G77">
        <v>2</v>
      </c>
    </row>
    <row r="78" spans="1:7" x14ac:dyDescent="0.3">
      <c r="A78">
        <v>1077</v>
      </c>
      <c r="B78" s="1">
        <v>45368</v>
      </c>
      <c r="C78" t="s">
        <v>9</v>
      </c>
      <c r="D78" t="s">
        <v>8</v>
      </c>
      <c r="E78">
        <v>13512</v>
      </c>
      <c r="F78">
        <v>2140</v>
      </c>
      <c r="G78">
        <v>8</v>
      </c>
    </row>
    <row r="79" spans="1:7" x14ac:dyDescent="0.3">
      <c r="A79">
        <v>1078</v>
      </c>
      <c r="B79" s="1">
        <v>45369</v>
      </c>
      <c r="C79" t="s">
        <v>9</v>
      </c>
      <c r="D79" t="s">
        <v>11</v>
      </c>
      <c r="E79">
        <v>6342</v>
      </c>
      <c r="F79">
        <v>13739</v>
      </c>
      <c r="G79">
        <v>2</v>
      </c>
    </row>
    <row r="80" spans="1:7" x14ac:dyDescent="0.3">
      <c r="A80">
        <v>1079</v>
      </c>
      <c r="B80" s="1">
        <v>45370</v>
      </c>
      <c r="C80" t="s">
        <v>7</v>
      </c>
      <c r="D80" t="s">
        <v>13</v>
      </c>
      <c r="E80">
        <v>68076</v>
      </c>
      <c r="F80">
        <v>7990</v>
      </c>
      <c r="G80">
        <v>9</v>
      </c>
    </row>
    <row r="81" spans="1:7" x14ac:dyDescent="0.3">
      <c r="A81">
        <v>1080</v>
      </c>
      <c r="B81" s="1">
        <v>45371</v>
      </c>
      <c r="C81" t="s">
        <v>9</v>
      </c>
      <c r="D81" t="s">
        <v>13</v>
      </c>
      <c r="E81">
        <v>24216</v>
      </c>
      <c r="F81">
        <v>11374</v>
      </c>
      <c r="G81">
        <v>2</v>
      </c>
    </row>
    <row r="82" spans="1:7" x14ac:dyDescent="0.3">
      <c r="A82">
        <v>1081</v>
      </c>
      <c r="B82" s="1">
        <v>45372</v>
      </c>
      <c r="C82" t="s">
        <v>7</v>
      </c>
      <c r="D82" t="s">
        <v>11</v>
      </c>
      <c r="E82">
        <v>31614</v>
      </c>
      <c r="F82">
        <v>9679</v>
      </c>
      <c r="G82">
        <v>9</v>
      </c>
    </row>
    <row r="83" spans="1:7" x14ac:dyDescent="0.3">
      <c r="A83">
        <v>1082</v>
      </c>
      <c r="B83" s="1">
        <v>45373</v>
      </c>
      <c r="C83" t="s">
        <v>9</v>
      </c>
      <c r="D83" t="s">
        <v>13</v>
      </c>
      <c r="E83">
        <v>41258</v>
      </c>
      <c r="F83">
        <v>1718</v>
      </c>
      <c r="G83">
        <v>7</v>
      </c>
    </row>
    <row r="84" spans="1:7" x14ac:dyDescent="0.3">
      <c r="A84">
        <v>1083</v>
      </c>
      <c r="B84" s="1">
        <v>45374</v>
      </c>
      <c r="C84" t="s">
        <v>10</v>
      </c>
      <c r="D84" t="s">
        <v>11</v>
      </c>
      <c r="E84">
        <v>47078</v>
      </c>
      <c r="F84">
        <v>5516</v>
      </c>
      <c r="G84">
        <v>8</v>
      </c>
    </row>
    <row r="85" spans="1:7" x14ac:dyDescent="0.3">
      <c r="A85">
        <v>1084</v>
      </c>
      <c r="B85" s="1">
        <v>45375</v>
      </c>
      <c r="C85" t="s">
        <v>9</v>
      </c>
      <c r="D85" t="s">
        <v>8</v>
      </c>
      <c r="E85">
        <v>17219</v>
      </c>
      <c r="F85">
        <v>7381</v>
      </c>
      <c r="G85">
        <v>2</v>
      </c>
    </row>
    <row r="86" spans="1:7" x14ac:dyDescent="0.3">
      <c r="A86">
        <v>1085</v>
      </c>
      <c r="B86" s="1">
        <v>45376</v>
      </c>
      <c r="C86" t="s">
        <v>7</v>
      </c>
      <c r="D86" t="s">
        <v>8</v>
      </c>
      <c r="E86">
        <v>5235</v>
      </c>
      <c r="F86">
        <v>10047</v>
      </c>
      <c r="G86">
        <v>7</v>
      </c>
    </row>
    <row r="87" spans="1:7" x14ac:dyDescent="0.3">
      <c r="A87">
        <v>1086</v>
      </c>
      <c r="B87" s="1">
        <v>45377</v>
      </c>
      <c r="C87" t="s">
        <v>7</v>
      </c>
      <c r="D87" t="s">
        <v>11</v>
      </c>
      <c r="E87">
        <v>47929</v>
      </c>
      <c r="F87">
        <v>12957</v>
      </c>
      <c r="G87">
        <v>6</v>
      </c>
    </row>
    <row r="88" spans="1:7" x14ac:dyDescent="0.3">
      <c r="A88">
        <v>1087</v>
      </c>
      <c r="B88" s="1">
        <v>45378</v>
      </c>
      <c r="C88" t="s">
        <v>14</v>
      </c>
      <c r="D88" t="s">
        <v>8</v>
      </c>
      <c r="E88">
        <v>72444</v>
      </c>
      <c r="F88">
        <v>13308</v>
      </c>
      <c r="G88">
        <v>4</v>
      </c>
    </row>
    <row r="89" spans="1:7" x14ac:dyDescent="0.3">
      <c r="A89">
        <v>1088</v>
      </c>
      <c r="B89" s="1">
        <v>45379</v>
      </c>
      <c r="C89" t="s">
        <v>10</v>
      </c>
      <c r="D89" t="s">
        <v>8</v>
      </c>
      <c r="E89">
        <v>13567</v>
      </c>
      <c r="F89">
        <v>14274</v>
      </c>
      <c r="G89">
        <v>7</v>
      </c>
    </row>
    <row r="90" spans="1:7" x14ac:dyDescent="0.3">
      <c r="A90">
        <v>1089</v>
      </c>
      <c r="B90" s="1">
        <v>45380</v>
      </c>
      <c r="C90" t="s">
        <v>9</v>
      </c>
      <c r="D90" t="s">
        <v>8</v>
      </c>
      <c r="E90">
        <v>75792</v>
      </c>
      <c r="F90">
        <v>12827</v>
      </c>
      <c r="G90">
        <v>4</v>
      </c>
    </row>
    <row r="91" spans="1:7" x14ac:dyDescent="0.3">
      <c r="A91">
        <v>1090</v>
      </c>
      <c r="B91" s="1">
        <v>45381</v>
      </c>
      <c r="C91" t="s">
        <v>14</v>
      </c>
      <c r="D91" t="s">
        <v>12</v>
      </c>
      <c r="E91">
        <v>70441</v>
      </c>
      <c r="F91">
        <v>10252</v>
      </c>
      <c r="G91">
        <v>2</v>
      </c>
    </row>
    <row r="92" spans="1:7" x14ac:dyDescent="0.3">
      <c r="A92">
        <v>1091</v>
      </c>
      <c r="B92" s="1">
        <v>45382</v>
      </c>
      <c r="C92" t="s">
        <v>9</v>
      </c>
      <c r="D92" t="s">
        <v>15</v>
      </c>
      <c r="E92">
        <v>78698</v>
      </c>
      <c r="F92">
        <v>10110</v>
      </c>
      <c r="G92">
        <v>7</v>
      </c>
    </row>
    <row r="93" spans="1:7" x14ac:dyDescent="0.3">
      <c r="A93">
        <v>1092</v>
      </c>
      <c r="B93" s="1">
        <v>45383</v>
      </c>
      <c r="C93" t="s">
        <v>9</v>
      </c>
      <c r="D93" t="s">
        <v>13</v>
      </c>
      <c r="E93">
        <v>10415</v>
      </c>
      <c r="F93">
        <v>1454</v>
      </c>
      <c r="G93">
        <v>8</v>
      </c>
    </row>
    <row r="94" spans="1:7" x14ac:dyDescent="0.3">
      <c r="A94">
        <v>1093</v>
      </c>
      <c r="B94" s="1">
        <v>45384</v>
      </c>
      <c r="C94" t="s">
        <v>14</v>
      </c>
      <c r="D94" t="s">
        <v>12</v>
      </c>
      <c r="E94">
        <v>41159</v>
      </c>
      <c r="F94">
        <v>9675</v>
      </c>
      <c r="G94">
        <v>2</v>
      </c>
    </row>
    <row r="95" spans="1:7" x14ac:dyDescent="0.3">
      <c r="A95">
        <v>1094</v>
      </c>
      <c r="B95" s="1">
        <v>45385</v>
      </c>
      <c r="C95" t="s">
        <v>14</v>
      </c>
      <c r="D95" t="s">
        <v>8</v>
      </c>
      <c r="E95">
        <v>48925</v>
      </c>
      <c r="F95">
        <v>7791</v>
      </c>
      <c r="G95">
        <v>5</v>
      </c>
    </row>
    <row r="96" spans="1:7" x14ac:dyDescent="0.3">
      <c r="A96">
        <v>1095</v>
      </c>
      <c r="B96" s="1">
        <v>45386</v>
      </c>
      <c r="C96" t="s">
        <v>14</v>
      </c>
      <c r="D96" t="s">
        <v>11</v>
      </c>
      <c r="E96">
        <v>10951</v>
      </c>
      <c r="F96">
        <v>1474</v>
      </c>
      <c r="G96">
        <v>1</v>
      </c>
    </row>
    <row r="97" spans="1:7" x14ac:dyDescent="0.3">
      <c r="A97">
        <v>1096</v>
      </c>
      <c r="B97" s="1">
        <v>45387</v>
      </c>
      <c r="C97" t="s">
        <v>14</v>
      </c>
      <c r="D97" t="s">
        <v>8</v>
      </c>
      <c r="E97">
        <v>13007</v>
      </c>
      <c r="F97">
        <v>4633</v>
      </c>
      <c r="G97">
        <v>7</v>
      </c>
    </row>
    <row r="98" spans="1:7" x14ac:dyDescent="0.3">
      <c r="A98">
        <v>1097</v>
      </c>
      <c r="B98" s="1">
        <v>45388</v>
      </c>
      <c r="C98" t="s">
        <v>14</v>
      </c>
      <c r="D98" t="s">
        <v>15</v>
      </c>
      <c r="E98">
        <v>46832</v>
      </c>
      <c r="F98">
        <v>5870</v>
      </c>
      <c r="G98">
        <v>8</v>
      </c>
    </row>
    <row r="99" spans="1:7" x14ac:dyDescent="0.3">
      <c r="A99">
        <v>1098</v>
      </c>
      <c r="B99" s="1">
        <v>45389</v>
      </c>
      <c r="C99" t="s">
        <v>9</v>
      </c>
      <c r="D99" t="s">
        <v>8</v>
      </c>
      <c r="E99">
        <v>63596</v>
      </c>
      <c r="F99">
        <v>4472</v>
      </c>
      <c r="G99">
        <v>6</v>
      </c>
    </row>
    <row r="100" spans="1:7" x14ac:dyDescent="0.3">
      <c r="A100">
        <v>1099</v>
      </c>
      <c r="B100" s="1">
        <v>45390</v>
      </c>
      <c r="C100" t="s">
        <v>14</v>
      </c>
      <c r="D100" t="s">
        <v>11</v>
      </c>
      <c r="E100">
        <v>35523</v>
      </c>
      <c r="F100">
        <v>5795</v>
      </c>
      <c r="G100">
        <v>5</v>
      </c>
    </row>
    <row r="101" spans="1:7" x14ac:dyDescent="0.3">
      <c r="A101">
        <v>1100</v>
      </c>
      <c r="B101" s="1">
        <v>45391</v>
      </c>
      <c r="C101" t="s">
        <v>10</v>
      </c>
      <c r="D101" t="s">
        <v>15</v>
      </c>
      <c r="E101">
        <v>20524</v>
      </c>
      <c r="F101">
        <v>14413</v>
      </c>
      <c r="G101">
        <v>6</v>
      </c>
    </row>
    <row r="102" spans="1:7" x14ac:dyDescent="0.3">
      <c r="A102">
        <v>1101</v>
      </c>
      <c r="B102" s="1">
        <v>45392</v>
      </c>
      <c r="C102" t="s">
        <v>7</v>
      </c>
      <c r="D102" t="s">
        <v>8</v>
      </c>
      <c r="E102">
        <v>24282</v>
      </c>
      <c r="F102">
        <v>9605</v>
      </c>
      <c r="G102">
        <v>2</v>
      </c>
    </row>
    <row r="103" spans="1:7" x14ac:dyDescent="0.3">
      <c r="A103">
        <v>1102</v>
      </c>
      <c r="B103" s="1">
        <v>45393</v>
      </c>
      <c r="C103" t="s">
        <v>14</v>
      </c>
      <c r="D103" t="s">
        <v>15</v>
      </c>
      <c r="E103">
        <v>28930</v>
      </c>
      <c r="F103">
        <v>13241</v>
      </c>
      <c r="G103">
        <v>1</v>
      </c>
    </row>
    <row r="104" spans="1:7" x14ac:dyDescent="0.3">
      <c r="A104">
        <v>1103</v>
      </c>
      <c r="B104" s="1">
        <v>45394</v>
      </c>
      <c r="C104" t="s">
        <v>14</v>
      </c>
      <c r="D104" t="s">
        <v>13</v>
      </c>
      <c r="E104">
        <v>5077</v>
      </c>
      <c r="F104">
        <v>8728</v>
      </c>
      <c r="G104">
        <v>7</v>
      </c>
    </row>
    <row r="105" spans="1:7" x14ac:dyDescent="0.3">
      <c r="A105">
        <v>1104</v>
      </c>
      <c r="B105" s="1">
        <v>45395</v>
      </c>
      <c r="C105" t="s">
        <v>9</v>
      </c>
      <c r="D105" t="s">
        <v>13</v>
      </c>
      <c r="E105">
        <v>25611</v>
      </c>
      <c r="F105">
        <v>12079</v>
      </c>
      <c r="G105">
        <v>7</v>
      </c>
    </row>
    <row r="106" spans="1:7" x14ac:dyDescent="0.3">
      <c r="A106">
        <v>1105</v>
      </c>
      <c r="B106" s="1">
        <v>45396</v>
      </c>
      <c r="C106" t="s">
        <v>14</v>
      </c>
      <c r="D106" t="s">
        <v>8</v>
      </c>
      <c r="E106">
        <v>21984</v>
      </c>
      <c r="F106">
        <v>10403</v>
      </c>
      <c r="G106">
        <v>2</v>
      </c>
    </row>
    <row r="107" spans="1:7" x14ac:dyDescent="0.3">
      <c r="A107">
        <v>1106</v>
      </c>
      <c r="B107" s="1">
        <v>45397</v>
      </c>
      <c r="C107" t="s">
        <v>14</v>
      </c>
      <c r="D107" t="s">
        <v>15</v>
      </c>
      <c r="E107">
        <v>19060</v>
      </c>
      <c r="F107">
        <v>3520</v>
      </c>
      <c r="G107">
        <v>2</v>
      </c>
    </row>
    <row r="108" spans="1:7" x14ac:dyDescent="0.3">
      <c r="A108">
        <v>1107</v>
      </c>
      <c r="B108" s="1">
        <v>45398</v>
      </c>
      <c r="C108" t="s">
        <v>14</v>
      </c>
      <c r="D108" t="s">
        <v>11</v>
      </c>
      <c r="E108">
        <v>48303</v>
      </c>
      <c r="F108">
        <v>9487</v>
      </c>
      <c r="G108">
        <v>1</v>
      </c>
    </row>
    <row r="109" spans="1:7" x14ac:dyDescent="0.3">
      <c r="A109">
        <v>1108</v>
      </c>
      <c r="B109" s="1">
        <v>45399</v>
      </c>
      <c r="C109" t="s">
        <v>9</v>
      </c>
      <c r="D109" t="s">
        <v>8</v>
      </c>
      <c r="E109">
        <v>64207</v>
      </c>
      <c r="F109">
        <v>4536</v>
      </c>
      <c r="G109">
        <v>8</v>
      </c>
    </row>
    <row r="110" spans="1:7" x14ac:dyDescent="0.3">
      <c r="A110">
        <v>1109</v>
      </c>
      <c r="B110" s="1">
        <v>45400</v>
      </c>
      <c r="C110" t="s">
        <v>14</v>
      </c>
      <c r="D110" t="s">
        <v>13</v>
      </c>
      <c r="E110">
        <v>34287</v>
      </c>
      <c r="F110">
        <v>5568</v>
      </c>
      <c r="G110">
        <v>8</v>
      </c>
    </row>
    <row r="111" spans="1:7" x14ac:dyDescent="0.3">
      <c r="A111">
        <v>1110</v>
      </c>
      <c r="B111" s="1">
        <v>45401</v>
      </c>
      <c r="C111" t="s">
        <v>7</v>
      </c>
      <c r="D111" t="s">
        <v>13</v>
      </c>
      <c r="E111">
        <v>44711</v>
      </c>
      <c r="F111">
        <v>13380</v>
      </c>
      <c r="G111">
        <v>1</v>
      </c>
    </row>
    <row r="112" spans="1:7" x14ac:dyDescent="0.3">
      <c r="A112">
        <v>1111</v>
      </c>
      <c r="B112" s="1">
        <v>45402</v>
      </c>
      <c r="C112" t="s">
        <v>9</v>
      </c>
      <c r="D112" t="s">
        <v>8</v>
      </c>
      <c r="E112">
        <v>16954</v>
      </c>
      <c r="F112">
        <v>5733</v>
      </c>
      <c r="G112">
        <v>8</v>
      </c>
    </row>
    <row r="113" spans="1:7" x14ac:dyDescent="0.3">
      <c r="A113">
        <v>1112</v>
      </c>
      <c r="B113" s="1">
        <v>45403</v>
      </c>
      <c r="C113" t="s">
        <v>7</v>
      </c>
      <c r="D113" t="s">
        <v>15</v>
      </c>
      <c r="E113">
        <v>78340</v>
      </c>
      <c r="F113">
        <v>11803</v>
      </c>
      <c r="G113">
        <v>9</v>
      </c>
    </row>
    <row r="114" spans="1:7" x14ac:dyDescent="0.3">
      <c r="A114">
        <v>1113</v>
      </c>
      <c r="B114" s="1">
        <v>45404</v>
      </c>
      <c r="C114" t="s">
        <v>9</v>
      </c>
      <c r="D114" t="s">
        <v>13</v>
      </c>
      <c r="E114">
        <v>77101</v>
      </c>
      <c r="F114">
        <v>10016</v>
      </c>
      <c r="G114">
        <v>4</v>
      </c>
    </row>
    <row r="115" spans="1:7" x14ac:dyDescent="0.3">
      <c r="A115">
        <v>1114</v>
      </c>
      <c r="B115" s="1">
        <v>45405</v>
      </c>
      <c r="C115" t="s">
        <v>14</v>
      </c>
      <c r="D115" t="s">
        <v>15</v>
      </c>
      <c r="E115">
        <v>76520</v>
      </c>
      <c r="F115">
        <v>817</v>
      </c>
      <c r="G115">
        <v>1</v>
      </c>
    </row>
    <row r="116" spans="1:7" x14ac:dyDescent="0.3">
      <c r="A116">
        <v>1115</v>
      </c>
      <c r="B116" s="1">
        <v>45406</v>
      </c>
      <c r="C116" t="s">
        <v>7</v>
      </c>
      <c r="D116" t="s">
        <v>13</v>
      </c>
      <c r="E116">
        <v>23574</v>
      </c>
      <c r="F116">
        <v>2896</v>
      </c>
      <c r="G116">
        <v>1</v>
      </c>
    </row>
    <row r="117" spans="1:7" x14ac:dyDescent="0.3">
      <c r="A117">
        <v>1116</v>
      </c>
      <c r="B117" s="1">
        <v>45407</v>
      </c>
      <c r="C117" t="s">
        <v>9</v>
      </c>
      <c r="D117" t="s">
        <v>13</v>
      </c>
      <c r="E117">
        <v>14184</v>
      </c>
      <c r="F117">
        <v>2662</v>
      </c>
      <c r="G117">
        <v>3</v>
      </c>
    </row>
    <row r="118" spans="1:7" x14ac:dyDescent="0.3">
      <c r="A118">
        <v>1117</v>
      </c>
      <c r="B118" s="1">
        <v>45408</v>
      </c>
      <c r="C118" t="s">
        <v>10</v>
      </c>
      <c r="D118" t="s">
        <v>12</v>
      </c>
      <c r="E118">
        <v>24096</v>
      </c>
      <c r="F118">
        <v>3245</v>
      </c>
      <c r="G118">
        <v>5</v>
      </c>
    </row>
    <row r="119" spans="1:7" x14ac:dyDescent="0.3">
      <c r="A119">
        <v>1118</v>
      </c>
      <c r="B119" s="1">
        <v>45409</v>
      </c>
      <c r="C119" t="s">
        <v>14</v>
      </c>
      <c r="D119" t="s">
        <v>13</v>
      </c>
      <c r="E119">
        <v>72728</v>
      </c>
      <c r="F119">
        <v>14134</v>
      </c>
      <c r="G119">
        <v>5</v>
      </c>
    </row>
    <row r="120" spans="1:7" x14ac:dyDescent="0.3">
      <c r="A120">
        <v>1119</v>
      </c>
      <c r="B120" s="1">
        <v>45410</v>
      </c>
      <c r="C120" t="s">
        <v>9</v>
      </c>
      <c r="D120" t="s">
        <v>11</v>
      </c>
      <c r="E120">
        <v>39016</v>
      </c>
      <c r="F120">
        <v>2091</v>
      </c>
      <c r="G120">
        <v>9</v>
      </c>
    </row>
    <row r="121" spans="1:7" x14ac:dyDescent="0.3">
      <c r="A121">
        <v>1120</v>
      </c>
      <c r="B121" s="1">
        <v>45411</v>
      </c>
      <c r="C121" t="s">
        <v>10</v>
      </c>
      <c r="D121" t="s">
        <v>8</v>
      </c>
      <c r="E121">
        <v>16246</v>
      </c>
      <c r="F121">
        <v>11803</v>
      </c>
      <c r="G121">
        <v>2</v>
      </c>
    </row>
    <row r="122" spans="1:7" x14ac:dyDescent="0.3">
      <c r="A122">
        <v>1121</v>
      </c>
      <c r="B122" s="1">
        <v>45412</v>
      </c>
      <c r="C122" t="s">
        <v>9</v>
      </c>
      <c r="D122" t="s">
        <v>8</v>
      </c>
      <c r="E122">
        <v>50558</v>
      </c>
      <c r="F122">
        <v>14677</v>
      </c>
      <c r="G122">
        <v>2</v>
      </c>
    </row>
    <row r="123" spans="1:7" x14ac:dyDescent="0.3">
      <c r="A123">
        <v>1122</v>
      </c>
      <c r="B123" s="1">
        <v>45413</v>
      </c>
      <c r="C123" t="s">
        <v>10</v>
      </c>
      <c r="D123" t="s">
        <v>15</v>
      </c>
      <c r="E123">
        <v>23381</v>
      </c>
      <c r="F123">
        <v>6683</v>
      </c>
      <c r="G123">
        <v>6</v>
      </c>
    </row>
    <row r="124" spans="1:7" x14ac:dyDescent="0.3">
      <c r="A124">
        <v>1123</v>
      </c>
      <c r="B124" s="1">
        <v>45414</v>
      </c>
      <c r="C124" t="s">
        <v>14</v>
      </c>
      <c r="D124" t="s">
        <v>13</v>
      </c>
      <c r="E124">
        <v>41455</v>
      </c>
      <c r="F124">
        <v>4430</v>
      </c>
      <c r="G124">
        <v>9</v>
      </c>
    </row>
    <row r="125" spans="1:7" x14ac:dyDescent="0.3">
      <c r="A125">
        <v>1124</v>
      </c>
      <c r="B125" s="1">
        <v>45415</v>
      </c>
      <c r="C125" t="s">
        <v>7</v>
      </c>
      <c r="D125" t="s">
        <v>11</v>
      </c>
      <c r="E125">
        <v>9018</v>
      </c>
      <c r="F125">
        <v>10688</v>
      </c>
      <c r="G125">
        <v>1</v>
      </c>
    </row>
    <row r="126" spans="1:7" x14ac:dyDescent="0.3">
      <c r="A126">
        <v>1125</v>
      </c>
      <c r="B126" s="1">
        <v>45416</v>
      </c>
      <c r="C126" t="s">
        <v>10</v>
      </c>
      <c r="D126" t="s">
        <v>15</v>
      </c>
      <c r="E126">
        <v>16302</v>
      </c>
      <c r="F126">
        <v>14560</v>
      </c>
      <c r="G126">
        <v>9</v>
      </c>
    </row>
    <row r="127" spans="1:7" x14ac:dyDescent="0.3">
      <c r="A127">
        <v>1126</v>
      </c>
      <c r="B127" s="1">
        <v>45417</v>
      </c>
      <c r="C127" t="s">
        <v>9</v>
      </c>
      <c r="D127" t="s">
        <v>12</v>
      </c>
      <c r="E127">
        <v>72506</v>
      </c>
      <c r="F127">
        <v>1812</v>
      </c>
      <c r="G127">
        <v>9</v>
      </c>
    </row>
    <row r="128" spans="1:7" x14ac:dyDescent="0.3">
      <c r="A128">
        <v>1127</v>
      </c>
      <c r="B128" s="1">
        <v>45418</v>
      </c>
      <c r="C128" t="s">
        <v>14</v>
      </c>
      <c r="D128" t="s">
        <v>15</v>
      </c>
      <c r="E128">
        <v>46157</v>
      </c>
      <c r="F128">
        <v>9977</v>
      </c>
      <c r="G128">
        <v>9</v>
      </c>
    </row>
    <row r="129" spans="1:7" x14ac:dyDescent="0.3">
      <c r="A129">
        <v>1128</v>
      </c>
      <c r="B129" s="1">
        <v>45419</v>
      </c>
      <c r="C129" t="s">
        <v>10</v>
      </c>
      <c r="D129" t="s">
        <v>15</v>
      </c>
      <c r="E129">
        <v>59917</v>
      </c>
      <c r="F129">
        <v>4811</v>
      </c>
      <c r="G129">
        <v>5</v>
      </c>
    </row>
    <row r="130" spans="1:7" x14ac:dyDescent="0.3">
      <c r="A130">
        <v>1129</v>
      </c>
      <c r="B130" s="1">
        <v>45420</v>
      </c>
      <c r="C130" t="s">
        <v>9</v>
      </c>
      <c r="D130" t="s">
        <v>13</v>
      </c>
      <c r="E130">
        <v>29519</v>
      </c>
      <c r="F130">
        <v>7814</v>
      </c>
      <c r="G130">
        <v>9</v>
      </c>
    </row>
    <row r="131" spans="1:7" x14ac:dyDescent="0.3">
      <c r="A131">
        <v>1130</v>
      </c>
      <c r="B131" s="1">
        <v>45421</v>
      </c>
      <c r="C131" t="s">
        <v>9</v>
      </c>
      <c r="D131" t="s">
        <v>12</v>
      </c>
      <c r="E131">
        <v>61819</v>
      </c>
      <c r="F131">
        <v>2883</v>
      </c>
      <c r="G131">
        <v>4</v>
      </c>
    </row>
    <row r="132" spans="1:7" x14ac:dyDescent="0.3">
      <c r="A132">
        <v>1131</v>
      </c>
      <c r="B132" s="1">
        <v>45422</v>
      </c>
      <c r="C132" t="s">
        <v>9</v>
      </c>
      <c r="D132" t="s">
        <v>15</v>
      </c>
      <c r="E132">
        <v>76324</v>
      </c>
      <c r="F132">
        <v>3739</v>
      </c>
      <c r="G132">
        <v>2</v>
      </c>
    </row>
    <row r="133" spans="1:7" x14ac:dyDescent="0.3">
      <c r="A133">
        <v>1132</v>
      </c>
      <c r="B133" s="1">
        <v>45423</v>
      </c>
      <c r="C133" t="s">
        <v>10</v>
      </c>
      <c r="D133" t="s">
        <v>11</v>
      </c>
      <c r="E133">
        <v>10408</v>
      </c>
      <c r="F133">
        <v>2639</v>
      </c>
      <c r="G133">
        <v>6</v>
      </c>
    </row>
    <row r="134" spans="1:7" x14ac:dyDescent="0.3">
      <c r="A134">
        <v>1133</v>
      </c>
      <c r="B134" s="1">
        <v>45424</v>
      </c>
      <c r="C134" t="s">
        <v>10</v>
      </c>
      <c r="D134" t="s">
        <v>11</v>
      </c>
      <c r="E134">
        <v>64379</v>
      </c>
      <c r="F134">
        <v>2204</v>
      </c>
      <c r="G134">
        <v>4</v>
      </c>
    </row>
    <row r="135" spans="1:7" x14ac:dyDescent="0.3">
      <c r="A135">
        <v>1134</v>
      </c>
      <c r="B135" s="1">
        <v>45425</v>
      </c>
      <c r="C135" t="s">
        <v>10</v>
      </c>
      <c r="D135" t="s">
        <v>8</v>
      </c>
      <c r="E135">
        <v>30053</v>
      </c>
      <c r="F135">
        <v>7424</v>
      </c>
      <c r="G135">
        <v>6</v>
      </c>
    </row>
    <row r="136" spans="1:7" x14ac:dyDescent="0.3">
      <c r="A136">
        <v>1135</v>
      </c>
      <c r="B136" s="1">
        <v>45426</v>
      </c>
      <c r="C136" t="s">
        <v>7</v>
      </c>
      <c r="D136" t="s">
        <v>12</v>
      </c>
      <c r="E136">
        <v>14446</v>
      </c>
      <c r="F136">
        <v>862</v>
      </c>
      <c r="G136">
        <v>3</v>
      </c>
    </row>
    <row r="137" spans="1:7" x14ac:dyDescent="0.3">
      <c r="A137">
        <v>1136</v>
      </c>
      <c r="B137" s="1">
        <v>45427</v>
      </c>
      <c r="C137" t="s">
        <v>10</v>
      </c>
      <c r="D137" t="s">
        <v>12</v>
      </c>
      <c r="E137">
        <v>5922</v>
      </c>
      <c r="F137">
        <v>3104</v>
      </c>
      <c r="G137">
        <v>6</v>
      </c>
    </row>
    <row r="138" spans="1:7" x14ac:dyDescent="0.3">
      <c r="A138">
        <v>1137</v>
      </c>
      <c r="B138" s="1">
        <v>45428</v>
      </c>
      <c r="C138" t="s">
        <v>10</v>
      </c>
      <c r="D138" t="s">
        <v>8</v>
      </c>
      <c r="E138">
        <v>56356</v>
      </c>
      <c r="F138">
        <v>10408</v>
      </c>
      <c r="G138">
        <v>2</v>
      </c>
    </row>
    <row r="139" spans="1:7" x14ac:dyDescent="0.3">
      <c r="A139">
        <v>1138</v>
      </c>
      <c r="B139" s="1">
        <v>45429</v>
      </c>
      <c r="C139" t="s">
        <v>10</v>
      </c>
      <c r="D139" t="s">
        <v>15</v>
      </c>
      <c r="E139">
        <v>15789</v>
      </c>
      <c r="F139">
        <v>13981</v>
      </c>
      <c r="G139">
        <v>2</v>
      </c>
    </row>
    <row r="140" spans="1:7" x14ac:dyDescent="0.3">
      <c r="A140">
        <v>1139</v>
      </c>
      <c r="B140" s="1">
        <v>45430</v>
      </c>
      <c r="C140" t="s">
        <v>7</v>
      </c>
      <c r="D140" t="s">
        <v>12</v>
      </c>
      <c r="E140">
        <v>71656</v>
      </c>
      <c r="F140">
        <v>13143</v>
      </c>
      <c r="G140">
        <v>9</v>
      </c>
    </row>
    <row r="141" spans="1:7" x14ac:dyDescent="0.3">
      <c r="A141">
        <v>1140</v>
      </c>
      <c r="B141" s="1">
        <v>45431</v>
      </c>
      <c r="C141" t="s">
        <v>10</v>
      </c>
      <c r="D141" t="s">
        <v>11</v>
      </c>
      <c r="E141">
        <v>49028</v>
      </c>
      <c r="F141">
        <v>4786</v>
      </c>
      <c r="G141">
        <v>7</v>
      </c>
    </row>
    <row r="142" spans="1:7" x14ac:dyDescent="0.3">
      <c r="A142">
        <v>1141</v>
      </c>
      <c r="B142" s="1">
        <v>45432</v>
      </c>
      <c r="C142" t="s">
        <v>9</v>
      </c>
      <c r="D142" t="s">
        <v>11</v>
      </c>
      <c r="E142">
        <v>69484</v>
      </c>
      <c r="F142">
        <v>4238</v>
      </c>
      <c r="G142">
        <v>3</v>
      </c>
    </row>
    <row r="143" spans="1:7" x14ac:dyDescent="0.3">
      <c r="A143">
        <v>1142</v>
      </c>
      <c r="B143" s="1">
        <v>45433</v>
      </c>
      <c r="C143" t="s">
        <v>10</v>
      </c>
      <c r="D143" t="s">
        <v>13</v>
      </c>
      <c r="E143">
        <v>37154</v>
      </c>
      <c r="F143">
        <v>2969</v>
      </c>
      <c r="G143">
        <v>1</v>
      </c>
    </row>
    <row r="144" spans="1:7" x14ac:dyDescent="0.3">
      <c r="A144">
        <v>1143</v>
      </c>
      <c r="B144" s="1">
        <v>45434</v>
      </c>
      <c r="C144" t="s">
        <v>9</v>
      </c>
      <c r="D144" t="s">
        <v>12</v>
      </c>
      <c r="E144">
        <v>7336</v>
      </c>
      <c r="F144">
        <v>5295</v>
      </c>
      <c r="G144">
        <v>8</v>
      </c>
    </row>
    <row r="145" spans="1:7" x14ac:dyDescent="0.3">
      <c r="A145">
        <v>1144</v>
      </c>
      <c r="B145" s="1">
        <v>45435</v>
      </c>
      <c r="C145" t="s">
        <v>9</v>
      </c>
      <c r="D145" t="s">
        <v>15</v>
      </c>
      <c r="E145">
        <v>72779</v>
      </c>
      <c r="F145">
        <v>6650</v>
      </c>
      <c r="G145">
        <v>6</v>
      </c>
    </row>
    <row r="146" spans="1:7" x14ac:dyDescent="0.3">
      <c r="A146">
        <v>1145</v>
      </c>
      <c r="B146" s="1">
        <v>45436</v>
      </c>
      <c r="C146" t="s">
        <v>9</v>
      </c>
      <c r="D146" t="s">
        <v>8</v>
      </c>
      <c r="E146">
        <v>24029</v>
      </c>
      <c r="F146">
        <v>14968</v>
      </c>
      <c r="G146">
        <v>7</v>
      </c>
    </row>
    <row r="147" spans="1:7" x14ac:dyDescent="0.3">
      <c r="A147">
        <v>1146</v>
      </c>
      <c r="B147" s="1">
        <v>45437</v>
      </c>
      <c r="C147" t="s">
        <v>7</v>
      </c>
      <c r="D147" t="s">
        <v>8</v>
      </c>
      <c r="E147">
        <v>64201</v>
      </c>
      <c r="F147">
        <v>1056</v>
      </c>
      <c r="G147">
        <v>9</v>
      </c>
    </row>
    <row r="148" spans="1:7" x14ac:dyDescent="0.3">
      <c r="A148">
        <v>1147</v>
      </c>
      <c r="B148" s="1">
        <v>45438</v>
      </c>
      <c r="C148" t="s">
        <v>7</v>
      </c>
      <c r="D148" t="s">
        <v>15</v>
      </c>
      <c r="E148">
        <v>37265</v>
      </c>
      <c r="F148">
        <v>9517</v>
      </c>
      <c r="G148">
        <v>5</v>
      </c>
    </row>
    <row r="149" spans="1:7" x14ac:dyDescent="0.3">
      <c r="A149">
        <v>1148</v>
      </c>
      <c r="B149" s="1">
        <v>45439</v>
      </c>
      <c r="C149" t="s">
        <v>7</v>
      </c>
      <c r="D149" t="s">
        <v>13</v>
      </c>
      <c r="E149">
        <v>48872</v>
      </c>
      <c r="F149">
        <v>3308</v>
      </c>
      <c r="G149">
        <v>1</v>
      </c>
    </row>
    <row r="150" spans="1:7" x14ac:dyDescent="0.3">
      <c r="A150">
        <v>1149</v>
      </c>
      <c r="B150" s="1">
        <v>45440</v>
      </c>
      <c r="C150" t="s">
        <v>10</v>
      </c>
      <c r="D150" t="s">
        <v>8</v>
      </c>
      <c r="E150">
        <v>51197</v>
      </c>
      <c r="F150">
        <v>5650</v>
      </c>
      <c r="G150">
        <v>7</v>
      </c>
    </row>
    <row r="151" spans="1:7" x14ac:dyDescent="0.3">
      <c r="A151">
        <v>1150</v>
      </c>
      <c r="B151" s="1">
        <v>45441</v>
      </c>
      <c r="C151" t="s">
        <v>9</v>
      </c>
      <c r="D151" t="s">
        <v>12</v>
      </c>
      <c r="E151">
        <v>60180</v>
      </c>
      <c r="F151">
        <v>13213</v>
      </c>
      <c r="G151">
        <v>5</v>
      </c>
    </row>
    <row r="152" spans="1:7" x14ac:dyDescent="0.3">
      <c r="A152">
        <v>1151</v>
      </c>
      <c r="B152" s="1">
        <v>45442</v>
      </c>
      <c r="C152" t="s">
        <v>7</v>
      </c>
      <c r="D152" t="s">
        <v>13</v>
      </c>
      <c r="E152">
        <v>28710</v>
      </c>
      <c r="F152">
        <v>8061</v>
      </c>
      <c r="G152">
        <v>3</v>
      </c>
    </row>
    <row r="153" spans="1:7" x14ac:dyDescent="0.3">
      <c r="A153">
        <v>1152</v>
      </c>
      <c r="B153" s="1">
        <v>45443</v>
      </c>
      <c r="C153" t="s">
        <v>7</v>
      </c>
      <c r="D153" t="s">
        <v>12</v>
      </c>
      <c r="E153">
        <v>34486</v>
      </c>
      <c r="F153">
        <v>3219</v>
      </c>
      <c r="G153">
        <v>9</v>
      </c>
    </row>
    <row r="154" spans="1:7" x14ac:dyDescent="0.3">
      <c r="A154">
        <v>1153</v>
      </c>
      <c r="B154" s="1">
        <v>45444</v>
      </c>
      <c r="C154" t="s">
        <v>10</v>
      </c>
      <c r="D154" t="s">
        <v>11</v>
      </c>
      <c r="E154">
        <v>76907</v>
      </c>
      <c r="F154">
        <v>7006</v>
      </c>
      <c r="G154">
        <v>1</v>
      </c>
    </row>
    <row r="155" spans="1:7" x14ac:dyDescent="0.3">
      <c r="A155">
        <v>1154</v>
      </c>
      <c r="B155" s="1">
        <v>45445</v>
      </c>
      <c r="C155" t="s">
        <v>7</v>
      </c>
      <c r="D155" t="s">
        <v>13</v>
      </c>
      <c r="E155">
        <v>76895</v>
      </c>
      <c r="F155">
        <v>12200</v>
      </c>
      <c r="G155">
        <v>1</v>
      </c>
    </row>
    <row r="156" spans="1:7" x14ac:dyDescent="0.3">
      <c r="A156">
        <v>1155</v>
      </c>
      <c r="B156" s="1">
        <v>45446</v>
      </c>
      <c r="C156" t="s">
        <v>10</v>
      </c>
      <c r="D156" t="s">
        <v>8</v>
      </c>
      <c r="E156">
        <v>69435</v>
      </c>
      <c r="F156">
        <v>4241</v>
      </c>
      <c r="G156">
        <v>1</v>
      </c>
    </row>
    <row r="157" spans="1:7" x14ac:dyDescent="0.3">
      <c r="A157">
        <v>1156</v>
      </c>
      <c r="B157" s="1">
        <v>45447</v>
      </c>
      <c r="C157" t="s">
        <v>14</v>
      </c>
      <c r="D157" t="s">
        <v>13</v>
      </c>
      <c r="E157">
        <v>45631</v>
      </c>
      <c r="F157">
        <v>10266</v>
      </c>
      <c r="G157">
        <v>3</v>
      </c>
    </row>
    <row r="158" spans="1:7" x14ac:dyDescent="0.3">
      <c r="A158">
        <v>1157</v>
      </c>
      <c r="B158" s="1">
        <v>45448</v>
      </c>
      <c r="C158" t="s">
        <v>7</v>
      </c>
      <c r="D158" t="s">
        <v>13</v>
      </c>
      <c r="E158">
        <v>25103</v>
      </c>
      <c r="F158">
        <v>4498</v>
      </c>
      <c r="G158">
        <v>6</v>
      </c>
    </row>
    <row r="159" spans="1:7" x14ac:dyDescent="0.3">
      <c r="A159">
        <v>1158</v>
      </c>
      <c r="B159" s="1">
        <v>45449</v>
      </c>
      <c r="C159" t="s">
        <v>14</v>
      </c>
      <c r="D159" t="s">
        <v>13</v>
      </c>
      <c r="E159">
        <v>69772</v>
      </c>
      <c r="F159">
        <v>10821</v>
      </c>
      <c r="G159">
        <v>3</v>
      </c>
    </row>
    <row r="160" spans="1:7" x14ac:dyDescent="0.3">
      <c r="A160">
        <v>1159</v>
      </c>
      <c r="B160" s="1">
        <v>45450</v>
      </c>
      <c r="C160" t="s">
        <v>10</v>
      </c>
      <c r="D160" t="s">
        <v>13</v>
      </c>
      <c r="E160">
        <v>19382</v>
      </c>
      <c r="F160">
        <v>2903</v>
      </c>
      <c r="G160">
        <v>8</v>
      </c>
    </row>
    <row r="161" spans="1:7" x14ac:dyDescent="0.3">
      <c r="A161">
        <v>1160</v>
      </c>
      <c r="B161" s="1">
        <v>45451</v>
      </c>
      <c r="C161" t="s">
        <v>9</v>
      </c>
      <c r="D161" t="s">
        <v>12</v>
      </c>
      <c r="E161">
        <v>8756</v>
      </c>
      <c r="F161">
        <v>12021</v>
      </c>
      <c r="G161">
        <v>2</v>
      </c>
    </row>
    <row r="162" spans="1:7" x14ac:dyDescent="0.3">
      <c r="A162">
        <v>1161</v>
      </c>
      <c r="B162" s="1">
        <v>45452</v>
      </c>
      <c r="C162" t="s">
        <v>7</v>
      </c>
      <c r="D162" t="s">
        <v>11</v>
      </c>
      <c r="E162">
        <v>25609</v>
      </c>
      <c r="F162">
        <v>9280</v>
      </c>
      <c r="G162">
        <v>9</v>
      </c>
    </row>
    <row r="163" spans="1:7" x14ac:dyDescent="0.3">
      <c r="A163">
        <v>1162</v>
      </c>
      <c r="B163" s="1">
        <v>45453</v>
      </c>
      <c r="C163" t="s">
        <v>10</v>
      </c>
      <c r="D163" t="s">
        <v>15</v>
      </c>
      <c r="E163">
        <v>21478</v>
      </c>
      <c r="F163">
        <v>10704</v>
      </c>
      <c r="G163">
        <v>3</v>
      </c>
    </row>
    <row r="164" spans="1:7" x14ac:dyDescent="0.3">
      <c r="A164">
        <v>1163</v>
      </c>
      <c r="B164" s="1">
        <v>45454</v>
      </c>
      <c r="C164" t="s">
        <v>9</v>
      </c>
      <c r="D164" t="s">
        <v>13</v>
      </c>
      <c r="E164">
        <v>44666</v>
      </c>
      <c r="F164">
        <v>10239</v>
      </c>
      <c r="G164">
        <v>5</v>
      </c>
    </row>
    <row r="165" spans="1:7" x14ac:dyDescent="0.3">
      <c r="A165">
        <v>1164</v>
      </c>
      <c r="B165" s="1">
        <v>45455</v>
      </c>
      <c r="C165" t="s">
        <v>9</v>
      </c>
      <c r="D165" t="s">
        <v>8</v>
      </c>
      <c r="E165">
        <v>76315</v>
      </c>
      <c r="F165">
        <v>794</v>
      </c>
      <c r="G165">
        <v>8</v>
      </c>
    </row>
    <row r="166" spans="1:7" x14ac:dyDescent="0.3">
      <c r="A166">
        <v>1165</v>
      </c>
      <c r="B166" s="1">
        <v>45456</v>
      </c>
      <c r="C166" t="s">
        <v>14</v>
      </c>
      <c r="D166" t="s">
        <v>13</v>
      </c>
      <c r="E166">
        <v>19153</v>
      </c>
      <c r="F166">
        <v>10677</v>
      </c>
      <c r="G166">
        <v>2</v>
      </c>
    </row>
    <row r="167" spans="1:7" x14ac:dyDescent="0.3">
      <c r="A167">
        <v>1166</v>
      </c>
      <c r="B167" s="1">
        <v>45457</v>
      </c>
      <c r="C167" t="s">
        <v>10</v>
      </c>
      <c r="D167" t="s">
        <v>8</v>
      </c>
      <c r="E167">
        <v>17999</v>
      </c>
      <c r="F167">
        <v>5843</v>
      </c>
      <c r="G167">
        <v>6</v>
      </c>
    </row>
    <row r="168" spans="1:7" x14ac:dyDescent="0.3">
      <c r="A168">
        <v>1167</v>
      </c>
      <c r="B168" s="1">
        <v>45458</v>
      </c>
      <c r="C168" t="s">
        <v>9</v>
      </c>
      <c r="D168" t="s">
        <v>12</v>
      </c>
      <c r="E168">
        <v>60318</v>
      </c>
      <c r="F168">
        <v>14336</v>
      </c>
      <c r="G168">
        <v>5</v>
      </c>
    </row>
    <row r="169" spans="1:7" x14ac:dyDescent="0.3">
      <c r="A169">
        <v>1168</v>
      </c>
      <c r="B169" s="1">
        <v>45459</v>
      </c>
      <c r="C169" t="s">
        <v>7</v>
      </c>
      <c r="D169" t="s">
        <v>8</v>
      </c>
      <c r="E169">
        <v>5814</v>
      </c>
      <c r="F169">
        <v>11809</v>
      </c>
      <c r="G169">
        <v>9</v>
      </c>
    </row>
    <row r="170" spans="1:7" x14ac:dyDescent="0.3">
      <c r="A170">
        <v>1169</v>
      </c>
      <c r="B170" s="1">
        <v>45460</v>
      </c>
      <c r="C170" t="s">
        <v>7</v>
      </c>
      <c r="D170" t="s">
        <v>15</v>
      </c>
      <c r="E170">
        <v>7443</v>
      </c>
      <c r="F170">
        <v>10382</v>
      </c>
      <c r="G170">
        <v>5</v>
      </c>
    </row>
    <row r="171" spans="1:7" x14ac:dyDescent="0.3">
      <c r="A171">
        <v>1170</v>
      </c>
      <c r="B171" s="1">
        <v>45461</v>
      </c>
      <c r="C171" t="s">
        <v>14</v>
      </c>
      <c r="D171" t="s">
        <v>11</v>
      </c>
      <c r="E171">
        <v>78319</v>
      </c>
      <c r="F171">
        <v>1636</v>
      </c>
      <c r="G171">
        <v>2</v>
      </c>
    </row>
    <row r="172" spans="1:7" x14ac:dyDescent="0.3">
      <c r="A172">
        <v>1171</v>
      </c>
      <c r="B172" s="1">
        <v>45462</v>
      </c>
      <c r="C172" t="s">
        <v>9</v>
      </c>
      <c r="D172" t="s">
        <v>8</v>
      </c>
      <c r="E172">
        <v>22368</v>
      </c>
      <c r="F172">
        <v>14044</v>
      </c>
      <c r="G172">
        <v>5</v>
      </c>
    </row>
    <row r="173" spans="1:7" x14ac:dyDescent="0.3">
      <c r="A173">
        <v>1172</v>
      </c>
      <c r="B173" s="1">
        <v>45463</v>
      </c>
      <c r="C173" t="s">
        <v>10</v>
      </c>
      <c r="D173" t="s">
        <v>8</v>
      </c>
      <c r="E173">
        <v>20328</v>
      </c>
      <c r="F173">
        <v>2564</v>
      </c>
      <c r="G173">
        <v>4</v>
      </c>
    </row>
    <row r="174" spans="1:7" x14ac:dyDescent="0.3">
      <c r="A174">
        <v>1173</v>
      </c>
      <c r="B174" s="1">
        <v>45464</v>
      </c>
      <c r="C174" t="s">
        <v>7</v>
      </c>
      <c r="D174" t="s">
        <v>11</v>
      </c>
      <c r="E174">
        <v>61942</v>
      </c>
      <c r="F174">
        <v>13147</v>
      </c>
      <c r="G174">
        <v>7</v>
      </c>
    </row>
    <row r="175" spans="1:7" x14ac:dyDescent="0.3">
      <c r="A175">
        <v>1174</v>
      </c>
      <c r="B175" s="1">
        <v>45465</v>
      </c>
      <c r="C175" t="s">
        <v>9</v>
      </c>
      <c r="D175" t="s">
        <v>15</v>
      </c>
      <c r="E175">
        <v>32306</v>
      </c>
      <c r="F175">
        <v>7509</v>
      </c>
      <c r="G175">
        <v>6</v>
      </c>
    </row>
    <row r="176" spans="1:7" x14ac:dyDescent="0.3">
      <c r="A176">
        <v>1175</v>
      </c>
      <c r="B176" s="1">
        <v>45466</v>
      </c>
      <c r="C176" t="s">
        <v>9</v>
      </c>
      <c r="D176" t="s">
        <v>13</v>
      </c>
      <c r="E176">
        <v>44915</v>
      </c>
      <c r="F176">
        <v>13487</v>
      </c>
      <c r="G176">
        <v>2</v>
      </c>
    </row>
    <row r="177" spans="1:7" x14ac:dyDescent="0.3">
      <c r="A177">
        <v>1176</v>
      </c>
      <c r="B177" s="1">
        <v>45467</v>
      </c>
      <c r="C177" t="s">
        <v>14</v>
      </c>
      <c r="D177" t="s">
        <v>8</v>
      </c>
      <c r="E177">
        <v>42219</v>
      </c>
      <c r="F177">
        <v>5043</v>
      </c>
      <c r="G177">
        <v>5</v>
      </c>
    </row>
    <row r="178" spans="1:7" x14ac:dyDescent="0.3">
      <c r="A178">
        <v>1177</v>
      </c>
      <c r="B178" s="1">
        <v>45468</v>
      </c>
      <c r="C178" t="s">
        <v>7</v>
      </c>
      <c r="D178" t="s">
        <v>11</v>
      </c>
      <c r="E178">
        <v>69644</v>
      </c>
      <c r="F178">
        <v>13462</v>
      </c>
      <c r="G178">
        <v>7</v>
      </c>
    </row>
    <row r="179" spans="1:7" x14ac:dyDescent="0.3">
      <c r="A179">
        <v>1178</v>
      </c>
      <c r="B179" s="1">
        <v>45469</v>
      </c>
      <c r="C179" t="s">
        <v>7</v>
      </c>
      <c r="D179" t="s">
        <v>12</v>
      </c>
      <c r="E179">
        <v>65279</v>
      </c>
      <c r="F179">
        <v>1507</v>
      </c>
      <c r="G179">
        <v>7</v>
      </c>
    </row>
    <row r="180" spans="1:7" x14ac:dyDescent="0.3">
      <c r="A180">
        <v>1179</v>
      </c>
      <c r="B180" s="1">
        <v>45470</v>
      </c>
      <c r="C180" t="s">
        <v>10</v>
      </c>
      <c r="D180" t="s">
        <v>11</v>
      </c>
      <c r="E180">
        <v>58028</v>
      </c>
      <c r="F180">
        <v>5945</v>
      </c>
      <c r="G180">
        <v>5</v>
      </c>
    </row>
    <row r="181" spans="1:7" x14ac:dyDescent="0.3">
      <c r="A181">
        <v>1180</v>
      </c>
      <c r="B181" s="1">
        <v>45471</v>
      </c>
      <c r="C181" t="s">
        <v>7</v>
      </c>
      <c r="D181" t="s">
        <v>12</v>
      </c>
      <c r="E181">
        <v>5126</v>
      </c>
      <c r="F181">
        <v>11206</v>
      </c>
      <c r="G181">
        <v>9</v>
      </c>
    </row>
    <row r="182" spans="1:7" x14ac:dyDescent="0.3">
      <c r="A182">
        <v>1181</v>
      </c>
      <c r="B182" s="1">
        <v>45472</v>
      </c>
      <c r="C182" t="s">
        <v>10</v>
      </c>
      <c r="D182" t="s">
        <v>15</v>
      </c>
      <c r="E182">
        <v>57329</v>
      </c>
      <c r="F182">
        <v>12218</v>
      </c>
      <c r="G182">
        <v>4</v>
      </c>
    </row>
    <row r="183" spans="1:7" x14ac:dyDescent="0.3">
      <c r="A183">
        <v>1182</v>
      </c>
      <c r="B183" s="1">
        <v>45473</v>
      </c>
      <c r="C183" t="s">
        <v>7</v>
      </c>
      <c r="D183" t="s">
        <v>13</v>
      </c>
      <c r="E183">
        <v>32632</v>
      </c>
      <c r="F183">
        <v>13373</v>
      </c>
      <c r="G183">
        <v>3</v>
      </c>
    </row>
    <row r="184" spans="1:7" x14ac:dyDescent="0.3">
      <c r="A184">
        <v>1183</v>
      </c>
      <c r="B184" s="1">
        <v>45474</v>
      </c>
      <c r="C184" t="s">
        <v>14</v>
      </c>
      <c r="D184" t="s">
        <v>11</v>
      </c>
      <c r="E184">
        <v>70310</v>
      </c>
      <c r="F184">
        <v>5852</v>
      </c>
      <c r="G184">
        <v>4</v>
      </c>
    </row>
    <row r="185" spans="1:7" x14ac:dyDescent="0.3">
      <c r="A185">
        <v>1184</v>
      </c>
      <c r="B185" s="1">
        <v>45475</v>
      </c>
      <c r="C185" t="s">
        <v>7</v>
      </c>
      <c r="D185" t="s">
        <v>8</v>
      </c>
      <c r="E185">
        <v>60176</v>
      </c>
      <c r="F185">
        <v>9939</v>
      </c>
      <c r="G185">
        <v>5</v>
      </c>
    </row>
    <row r="186" spans="1:7" x14ac:dyDescent="0.3">
      <c r="A186">
        <v>1185</v>
      </c>
      <c r="B186" s="1">
        <v>45476</v>
      </c>
      <c r="C186" t="s">
        <v>10</v>
      </c>
      <c r="D186" t="s">
        <v>15</v>
      </c>
      <c r="E186">
        <v>49327</v>
      </c>
      <c r="F186">
        <v>13781</v>
      </c>
      <c r="G186">
        <v>6</v>
      </c>
    </row>
    <row r="187" spans="1:7" x14ac:dyDescent="0.3">
      <c r="A187">
        <v>1186</v>
      </c>
      <c r="B187" s="1">
        <v>45477</v>
      </c>
      <c r="C187" t="s">
        <v>10</v>
      </c>
      <c r="D187" t="s">
        <v>11</v>
      </c>
      <c r="E187">
        <v>73904</v>
      </c>
      <c r="F187">
        <v>12594</v>
      </c>
      <c r="G187">
        <v>3</v>
      </c>
    </row>
    <row r="188" spans="1:7" x14ac:dyDescent="0.3">
      <c r="A188">
        <v>1187</v>
      </c>
      <c r="B188" s="1">
        <v>45478</v>
      </c>
      <c r="C188" t="s">
        <v>14</v>
      </c>
      <c r="D188" t="s">
        <v>8</v>
      </c>
      <c r="E188">
        <v>8797</v>
      </c>
      <c r="F188">
        <v>1935</v>
      </c>
      <c r="G188">
        <v>2</v>
      </c>
    </row>
    <row r="189" spans="1:7" x14ac:dyDescent="0.3">
      <c r="A189">
        <v>1188</v>
      </c>
      <c r="B189" s="1">
        <v>45479</v>
      </c>
      <c r="C189" t="s">
        <v>7</v>
      </c>
      <c r="D189" t="s">
        <v>11</v>
      </c>
      <c r="E189">
        <v>52882</v>
      </c>
      <c r="F189">
        <v>1071</v>
      </c>
      <c r="G189">
        <v>4</v>
      </c>
    </row>
    <row r="190" spans="1:7" x14ac:dyDescent="0.3">
      <c r="A190">
        <v>1189</v>
      </c>
      <c r="B190" s="1">
        <v>45480</v>
      </c>
      <c r="C190" t="s">
        <v>7</v>
      </c>
      <c r="D190" t="s">
        <v>12</v>
      </c>
      <c r="E190">
        <v>18718</v>
      </c>
      <c r="F190">
        <v>2882</v>
      </c>
      <c r="G190">
        <v>5</v>
      </c>
    </row>
    <row r="191" spans="1:7" x14ac:dyDescent="0.3">
      <c r="A191">
        <v>1190</v>
      </c>
      <c r="B191" s="1">
        <v>45481</v>
      </c>
      <c r="C191" t="s">
        <v>14</v>
      </c>
      <c r="D191" t="s">
        <v>11</v>
      </c>
      <c r="E191">
        <v>39560</v>
      </c>
      <c r="F191">
        <v>9937</v>
      </c>
      <c r="G191">
        <v>4</v>
      </c>
    </row>
    <row r="192" spans="1:7" x14ac:dyDescent="0.3">
      <c r="A192">
        <v>1191</v>
      </c>
      <c r="B192" s="1">
        <v>45482</v>
      </c>
      <c r="C192" t="s">
        <v>7</v>
      </c>
      <c r="D192" t="s">
        <v>11</v>
      </c>
      <c r="E192">
        <v>27116</v>
      </c>
      <c r="F192">
        <v>10776</v>
      </c>
      <c r="G192">
        <v>3</v>
      </c>
    </row>
    <row r="193" spans="1:7" x14ac:dyDescent="0.3">
      <c r="A193">
        <v>1192</v>
      </c>
      <c r="B193" s="1">
        <v>45483</v>
      </c>
      <c r="C193" t="s">
        <v>7</v>
      </c>
      <c r="D193" t="s">
        <v>11</v>
      </c>
      <c r="E193">
        <v>41244</v>
      </c>
      <c r="F193">
        <v>5584</v>
      </c>
      <c r="G193">
        <v>8</v>
      </c>
    </row>
    <row r="194" spans="1:7" x14ac:dyDescent="0.3">
      <c r="A194">
        <v>1193</v>
      </c>
      <c r="B194" s="1">
        <v>45484</v>
      </c>
      <c r="C194" t="s">
        <v>10</v>
      </c>
      <c r="D194" t="s">
        <v>15</v>
      </c>
      <c r="E194">
        <v>6645</v>
      </c>
      <c r="F194">
        <v>777</v>
      </c>
      <c r="G194">
        <v>4</v>
      </c>
    </row>
    <row r="195" spans="1:7" x14ac:dyDescent="0.3">
      <c r="A195">
        <v>1194</v>
      </c>
      <c r="B195" s="1">
        <v>45485</v>
      </c>
      <c r="C195" t="s">
        <v>7</v>
      </c>
      <c r="D195" t="s">
        <v>11</v>
      </c>
      <c r="E195">
        <v>52523</v>
      </c>
      <c r="F195">
        <v>14007</v>
      </c>
      <c r="G195">
        <v>2</v>
      </c>
    </row>
    <row r="196" spans="1:7" x14ac:dyDescent="0.3">
      <c r="A196">
        <v>1195</v>
      </c>
      <c r="B196" s="1">
        <v>45486</v>
      </c>
      <c r="C196" t="s">
        <v>7</v>
      </c>
      <c r="D196" t="s">
        <v>8</v>
      </c>
      <c r="E196">
        <v>24256</v>
      </c>
      <c r="F196">
        <v>7559</v>
      </c>
      <c r="G196">
        <v>2</v>
      </c>
    </row>
    <row r="197" spans="1:7" x14ac:dyDescent="0.3">
      <c r="A197">
        <v>1196</v>
      </c>
      <c r="B197" s="1">
        <v>45487</v>
      </c>
      <c r="C197" t="s">
        <v>14</v>
      </c>
      <c r="D197" t="s">
        <v>12</v>
      </c>
      <c r="E197">
        <v>58173</v>
      </c>
      <c r="F197">
        <v>2387</v>
      </c>
      <c r="G197">
        <v>1</v>
      </c>
    </row>
    <row r="198" spans="1:7" x14ac:dyDescent="0.3">
      <c r="A198">
        <v>1197</v>
      </c>
      <c r="B198" s="1">
        <v>45488</v>
      </c>
      <c r="C198" t="s">
        <v>14</v>
      </c>
      <c r="D198" t="s">
        <v>12</v>
      </c>
      <c r="E198">
        <v>42430</v>
      </c>
      <c r="F198">
        <v>13271</v>
      </c>
      <c r="G198">
        <v>4</v>
      </c>
    </row>
    <row r="199" spans="1:7" x14ac:dyDescent="0.3">
      <c r="A199">
        <v>1198</v>
      </c>
      <c r="B199" s="1">
        <v>45489</v>
      </c>
      <c r="C199" t="s">
        <v>9</v>
      </c>
      <c r="D199" t="s">
        <v>11</v>
      </c>
      <c r="E199">
        <v>44282</v>
      </c>
      <c r="F199">
        <v>1765</v>
      </c>
      <c r="G199">
        <v>9</v>
      </c>
    </row>
    <row r="200" spans="1:7" x14ac:dyDescent="0.3">
      <c r="A200">
        <v>1199</v>
      </c>
      <c r="B200" s="1">
        <v>45490</v>
      </c>
      <c r="C200" t="s">
        <v>10</v>
      </c>
      <c r="D200" t="s">
        <v>15</v>
      </c>
      <c r="E200">
        <v>68374</v>
      </c>
      <c r="F200">
        <v>7991</v>
      </c>
      <c r="G200">
        <v>7</v>
      </c>
    </row>
    <row r="201" spans="1:7" x14ac:dyDescent="0.3">
      <c r="A201">
        <v>1200</v>
      </c>
      <c r="B201" s="1">
        <v>45491</v>
      </c>
      <c r="C201" t="s">
        <v>7</v>
      </c>
      <c r="D201" t="s">
        <v>15</v>
      </c>
      <c r="E201">
        <v>73244</v>
      </c>
      <c r="F201">
        <v>13518</v>
      </c>
      <c r="G201">
        <v>7</v>
      </c>
    </row>
    <row r="202" spans="1:7" x14ac:dyDescent="0.3">
      <c r="A202">
        <v>1201</v>
      </c>
      <c r="B202" s="1">
        <v>45492</v>
      </c>
      <c r="C202" t="s">
        <v>7</v>
      </c>
      <c r="D202" t="s">
        <v>8</v>
      </c>
      <c r="E202">
        <v>16694</v>
      </c>
      <c r="F202">
        <v>1540</v>
      </c>
      <c r="G202">
        <v>7</v>
      </c>
    </row>
    <row r="203" spans="1:7" x14ac:dyDescent="0.3">
      <c r="A203">
        <v>1202</v>
      </c>
      <c r="B203" s="1">
        <v>45493</v>
      </c>
      <c r="C203" t="s">
        <v>9</v>
      </c>
      <c r="D203" t="s">
        <v>11</v>
      </c>
      <c r="E203">
        <v>61264</v>
      </c>
      <c r="F203">
        <v>9609</v>
      </c>
      <c r="G203">
        <v>8</v>
      </c>
    </row>
    <row r="204" spans="1:7" x14ac:dyDescent="0.3">
      <c r="A204">
        <v>1203</v>
      </c>
      <c r="B204" s="1">
        <v>45494</v>
      </c>
      <c r="C204" t="s">
        <v>7</v>
      </c>
      <c r="D204" t="s">
        <v>12</v>
      </c>
      <c r="E204">
        <v>62545</v>
      </c>
      <c r="F204">
        <v>8573</v>
      </c>
      <c r="G204">
        <v>1</v>
      </c>
    </row>
    <row r="205" spans="1:7" x14ac:dyDescent="0.3">
      <c r="A205">
        <v>1204</v>
      </c>
      <c r="B205" s="1">
        <v>45495</v>
      </c>
      <c r="C205" t="s">
        <v>10</v>
      </c>
      <c r="D205" t="s">
        <v>15</v>
      </c>
      <c r="E205">
        <v>44224</v>
      </c>
      <c r="F205">
        <v>9577</v>
      </c>
      <c r="G205">
        <v>8</v>
      </c>
    </row>
    <row r="206" spans="1:7" x14ac:dyDescent="0.3">
      <c r="A206">
        <v>1205</v>
      </c>
      <c r="B206" s="1">
        <v>45496</v>
      </c>
      <c r="C206" t="s">
        <v>9</v>
      </c>
      <c r="D206" t="s">
        <v>11</v>
      </c>
      <c r="E206">
        <v>18224</v>
      </c>
      <c r="F206">
        <v>3252</v>
      </c>
      <c r="G206">
        <v>4</v>
      </c>
    </row>
    <row r="207" spans="1:7" x14ac:dyDescent="0.3">
      <c r="A207">
        <v>1206</v>
      </c>
      <c r="B207" s="1">
        <v>45497</v>
      </c>
      <c r="C207" t="s">
        <v>10</v>
      </c>
      <c r="D207" t="s">
        <v>15</v>
      </c>
      <c r="E207">
        <v>45738</v>
      </c>
      <c r="F207">
        <v>8713</v>
      </c>
      <c r="G207">
        <v>4</v>
      </c>
    </row>
    <row r="208" spans="1:7" x14ac:dyDescent="0.3">
      <c r="A208">
        <v>1207</v>
      </c>
      <c r="B208" s="1">
        <v>45498</v>
      </c>
      <c r="C208" t="s">
        <v>9</v>
      </c>
      <c r="D208" t="s">
        <v>15</v>
      </c>
      <c r="E208">
        <v>30150</v>
      </c>
      <c r="F208">
        <v>5069</v>
      </c>
      <c r="G208">
        <v>4</v>
      </c>
    </row>
    <row r="209" spans="1:7" x14ac:dyDescent="0.3">
      <c r="A209">
        <v>1208</v>
      </c>
      <c r="B209" s="1">
        <v>45499</v>
      </c>
      <c r="C209" t="s">
        <v>9</v>
      </c>
      <c r="D209" t="s">
        <v>12</v>
      </c>
      <c r="E209">
        <v>68731</v>
      </c>
      <c r="F209">
        <v>11883</v>
      </c>
      <c r="G209">
        <v>6</v>
      </c>
    </row>
    <row r="210" spans="1:7" x14ac:dyDescent="0.3">
      <c r="A210">
        <v>1209</v>
      </c>
      <c r="B210" s="1">
        <v>45500</v>
      </c>
      <c r="C210" t="s">
        <v>14</v>
      </c>
      <c r="D210" t="s">
        <v>13</v>
      </c>
      <c r="E210">
        <v>54688</v>
      </c>
      <c r="F210">
        <v>6853</v>
      </c>
      <c r="G210">
        <v>7</v>
      </c>
    </row>
    <row r="211" spans="1:7" x14ac:dyDescent="0.3">
      <c r="A211">
        <v>1210</v>
      </c>
      <c r="B211" s="1">
        <v>45501</v>
      </c>
      <c r="C211" t="s">
        <v>10</v>
      </c>
      <c r="D211" t="s">
        <v>8</v>
      </c>
      <c r="E211">
        <v>78509</v>
      </c>
      <c r="F211">
        <v>2853</v>
      </c>
      <c r="G211">
        <v>6</v>
      </c>
    </row>
    <row r="212" spans="1:7" x14ac:dyDescent="0.3">
      <c r="A212">
        <v>1211</v>
      </c>
      <c r="B212" s="1">
        <v>45502</v>
      </c>
      <c r="C212" t="s">
        <v>7</v>
      </c>
      <c r="D212" t="s">
        <v>8</v>
      </c>
      <c r="E212">
        <v>13577</v>
      </c>
      <c r="F212">
        <v>7937</v>
      </c>
      <c r="G212">
        <v>1</v>
      </c>
    </row>
    <row r="213" spans="1:7" x14ac:dyDescent="0.3">
      <c r="A213">
        <v>1212</v>
      </c>
      <c r="B213" s="1">
        <v>45503</v>
      </c>
      <c r="C213" t="s">
        <v>7</v>
      </c>
      <c r="D213" t="s">
        <v>12</v>
      </c>
      <c r="E213">
        <v>13070</v>
      </c>
      <c r="F213">
        <v>5299</v>
      </c>
      <c r="G213">
        <v>8</v>
      </c>
    </row>
    <row r="214" spans="1:7" x14ac:dyDescent="0.3">
      <c r="A214">
        <v>1213</v>
      </c>
      <c r="B214" s="1">
        <v>45504</v>
      </c>
      <c r="C214" t="s">
        <v>10</v>
      </c>
      <c r="D214" t="s">
        <v>15</v>
      </c>
      <c r="E214">
        <v>13666</v>
      </c>
      <c r="F214">
        <v>1186</v>
      </c>
      <c r="G214">
        <v>7</v>
      </c>
    </row>
    <row r="215" spans="1:7" x14ac:dyDescent="0.3">
      <c r="A215">
        <v>1214</v>
      </c>
      <c r="B215" s="1">
        <v>45505</v>
      </c>
      <c r="C215" t="s">
        <v>7</v>
      </c>
      <c r="D215" t="s">
        <v>11</v>
      </c>
      <c r="E215">
        <v>62761</v>
      </c>
      <c r="F215">
        <v>8976</v>
      </c>
      <c r="G215">
        <v>6</v>
      </c>
    </row>
    <row r="216" spans="1:7" x14ac:dyDescent="0.3">
      <c r="A216">
        <v>1215</v>
      </c>
      <c r="B216" s="1">
        <v>45506</v>
      </c>
      <c r="C216" t="s">
        <v>7</v>
      </c>
      <c r="D216" t="s">
        <v>15</v>
      </c>
      <c r="E216">
        <v>41368</v>
      </c>
      <c r="F216">
        <v>5311</v>
      </c>
      <c r="G216">
        <v>6</v>
      </c>
    </row>
    <row r="217" spans="1:7" x14ac:dyDescent="0.3">
      <c r="A217">
        <v>1216</v>
      </c>
      <c r="B217" s="1">
        <v>45507</v>
      </c>
      <c r="C217" t="s">
        <v>10</v>
      </c>
      <c r="D217" t="s">
        <v>12</v>
      </c>
      <c r="E217">
        <v>11783</v>
      </c>
      <c r="F217">
        <v>12439</v>
      </c>
      <c r="G217">
        <v>5</v>
      </c>
    </row>
    <row r="218" spans="1:7" x14ac:dyDescent="0.3">
      <c r="A218">
        <v>1217</v>
      </c>
      <c r="B218" s="1">
        <v>45508</v>
      </c>
      <c r="C218" t="s">
        <v>9</v>
      </c>
      <c r="D218" t="s">
        <v>8</v>
      </c>
      <c r="E218">
        <v>46914</v>
      </c>
      <c r="F218">
        <v>9454</v>
      </c>
      <c r="G218">
        <v>6</v>
      </c>
    </row>
    <row r="219" spans="1:7" x14ac:dyDescent="0.3">
      <c r="A219">
        <v>1218</v>
      </c>
      <c r="B219" s="1">
        <v>45509</v>
      </c>
      <c r="C219" t="s">
        <v>10</v>
      </c>
      <c r="D219" t="s">
        <v>15</v>
      </c>
      <c r="E219">
        <v>75507</v>
      </c>
      <c r="F219">
        <v>5846</v>
      </c>
      <c r="G219">
        <v>9</v>
      </c>
    </row>
    <row r="220" spans="1:7" x14ac:dyDescent="0.3">
      <c r="A220">
        <v>1219</v>
      </c>
      <c r="B220" s="1">
        <v>45510</v>
      </c>
      <c r="C220" t="s">
        <v>9</v>
      </c>
      <c r="D220" t="s">
        <v>8</v>
      </c>
      <c r="E220">
        <v>72526</v>
      </c>
      <c r="F220">
        <v>5543</v>
      </c>
      <c r="G220">
        <v>9</v>
      </c>
    </row>
    <row r="221" spans="1:7" x14ac:dyDescent="0.3">
      <c r="A221">
        <v>1220</v>
      </c>
      <c r="B221" s="1">
        <v>45511</v>
      </c>
      <c r="C221" t="s">
        <v>7</v>
      </c>
      <c r="D221" t="s">
        <v>11</v>
      </c>
      <c r="E221">
        <v>75835</v>
      </c>
      <c r="F221">
        <v>2928</v>
      </c>
      <c r="G221">
        <v>8</v>
      </c>
    </row>
    <row r="222" spans="1:7" x14ac:dyDescent="0.3">
      <c r="A222">
        <v>1221</v>
      </c>
      <c r="B222" s="1">
        <v>45512</v>
      </c>
      <c r="C222" t="s">
        <v>7</v>
      </c>
      <c r="D222" t="s">
        <v>8</v>
      </c>
      <c r="E222">
        <v>50765</v>
      </c>
      <c r="F222">
        <v>11199</v>
      </c>
      <c r="G222">
        <v>9</v>
      </c>
    </row>
    <row r="223" spans="1:7" x14ac:dyDescent="0.3">
      <c r="A223">
        <v>1222</v>
      </c>
      <c r="B223" s="1">
        <v>45513</v>
      </c>
      <c r="C223" t="s">
        <v>7</v>
      </c>
      <c r="D223" t="s">
        <v>8</v>
      </c>
      <c r="E223">
        <v>24956</v>
      </c>
      <c r="F223">
        <v>5626</v>
      </c>
      <c r="G223">
        <v>8</v>
      </c>
    </row>
    <row r="224" spans="1:7" x14ac:dyDescent="0.3">
      <c r="A224">
        <v>1223</v>
      </c>
      <c r="B224" s="1">
        <v>45514</v>
      </c>
      <c r="C224" t="s">
        <v>14</v>
      </c>
      <c r="D224" t="s">
        <v>13</v>
      </c>
      <c r="E224">
        <v>51240</v>
      </c>
      <c r="F224">
        <v>8720</v>
      </c>
      <c r="G224">
        <v>8</v>
      </c>
    </row>
    <row r="225" spans="1:7" x14ac:dyDescent="0.3">
      <c r="A225">
        <v>1224</v>
      </c>
      <c r="B225" s="1">
        <v>45515</v>
      </c>
      <c r="C225" t="s">
        <v>9</v>
      </c>
      <c r="D225" t="s">
        <v>13</v>
      </c>
      <c r="E225">
        <v>42148</v>
      </c>
      <c r="F225">
        <v>9598</v>
      </c>
      <c r="G225">
        <v>1</v>
      </c>
    </row>
    <row r="226" spans="1:7" x14ac:dyDescent="0.3">
      <c r="A226">
        <v>1225</v>
      </c>
      <c r="B226" s="1">
        <v>45516</v>
      </c>
      <c r="C226" t="s">
        <v>14</v>
      </c>
      <c r="D226" t="s">
        <v>13</v>
      </c>
      <c r="E226">
        <v>9757</v>
      </c>
      <c r="F226">
        <v>11796</v>
      </c>
      <c r="G226">
        <v>5</v>
      </c>
    </row>
    <row r="227" spans="1:7" x14ac:dyDescent="0.3">
      <c r="A227">
        <v>1226</v>
      </c>
      <c r="B227" s="1">
        <v>45517</v>
      </c>
      <c r="C227" t="s">
        <v>14</v>
      </c>
      <c r="D227" t="s">
        <v>8</v>
      </c>
      <c r="E227">
        <v>24097</v>
      </c>
      <c r="F227">
        <v>8313</v>
      </c>
      <c r="G227">
        <v>4</v>
      </c>
    </row>
    <row r="228" spans="1:7" x14ac:dyDescent="0.3">
      <c r="A228">
        <v>1227</v>
      </c>
      <c r="B228" s="1">
        <v>45518</v>
      </c>
      <c r="C228" t="s">
        <v>10</v>
      </c>
      <c r="D228" t="s">
        <v>12</v>
      </c>
      <c r="E228">
        <v>15395</v>
      </c>
      <c r="F228">
        <v>14914</v>
      </c>
      <c r="G228">
        <v>2</v>
      </c>
    </row>
    <row r="229" spans="1:7" x14ac:dyDescent="0.3">
      <c r="A229">
        <v>1228</v>
      </c>
      <c r="B229" s="1">
        <v>45519</v>
      </c>
      <c r="C229" t="s">
        <v>14</v>
      </c>
      <c r="D229" t="s">
        <v>8</v>
      </c>
      <c r="E229">
        <v>21241</v>
      </c>
      <c r="F229">
        <v>12691</v>
      </c>
      <c r="G229">
        <v>8</v>
      </c>
    </row>
    <row r="230" spans="1:7" x14ac:dyDescent="0.3">
      <c r="A230">
        <v>1229</v>
      </c>
      <c r="B230" s="1">
        <v>45520</v>
      </c>
      <c r="C230" t="s">
        <v>10</v>
      </c>
      <c r="D230" t="s">
        <v>12</v>
      </c>
      <c r="E230">
        <v>32696</v>
      </c>
      <c r="F230">
        <v>11686</v>
      </c>
      <c r="G230">
        <v>3</v>
      </c>
    </row>
    <row r="231" spans="1:7" x14ac:dyDescent="0.3">
      <c r="A231">
        <v>1230</v>
      </c>
      <c r="B231" s="1">
        <v>45521</v>
      </c>
      <c r="C231" t="s">
        <v>10</v>
      </c>
      <c r="D231" t="s">
        <v>12</v>
      </c>
      <c r="E231">
        <v>75480</v>
      </c>
      <c r="F231">
        <v>11198</v>
      </c>
      <c r="G231">
        <v>4</v>
      </c>
    </row>
    <row r="232" spans="1:7" x14ac:dyDescent="0.3">
      <c r="A232">
        <v>1231</v>
      </c>
      <c r="B232" s="1">
        <v>45522</v>
      </c>
      <c r="C232" t="s">
        <v>14</v>
      </c>
      <c r="D232" t="s">
        <v>13</v>
      </c>
      <c r="E232">
        <v>51163</v>
      </c>
      <c r="F232">
        <v>13357</v>
      </c>
      <c r="G232">
        <v>7</v>
      </c>
    </row>
    <row r="233" spans="1:7" x14ac:dyDescent="0.3">
      <c r="A233">
        <v>1232</v>
      </c>
      <c r="B233" s="1">
        <v>45523</v>
      </c>
      <c r="C233" t="s">
        <v>9</v>
      </c>
      <c r="D233" t="s">
        <v>15</v>
      </c>
      <c r="E233">
        <v>24816</v>
      </c>
      <c r="F233">
        <v>14794</v>
      </c>
      <c r="G233">
        <v>9</v>
      </c>
    </row>
    <row r="234" spans="1:7" x14ac:dyDescent="0.3">
      <c r="A234">
        <v>1233</v>
      </c>
      <c r="B234" s="1">
        <v>45524</v>
      </c>
      <c r="C234" t="s">
        <v>9</v>
      </c>
      <c r="D234" t="s">
        <v>11</v>
      </c>
      <c r="E234">
        <v>54840</v>
      </c>
      <c r="F234">
        <v>12301</v>
      </c>
      <c r="G234">
        <v>2</v>
      </c>
    </row>
    <row r="235" spans="1:7" x14ac:dyDescent="0.3">
      <c r="A235">
        <v>1234</v>
      </c>
      <c r="B235" s="1">
        <v>45525</v>
      </c>
      <c r="C235" t="s">
        <v>9</v>
      </c>
      <c r="D235" t="s">
        <v>13</v>
      </c>
      <c r="E235">
        <v>57853</v>
      </c>
      <c r="F235">
        <v>12245</v>
      </c>
      <c r="G235">
        <v>3</v>
      </c>
    </row>
    <row r="236" spans="1:7" x14ac:dyDescent="0.3">
      <c r="A236">
        <v>1235</v>
      </c>
      <c r="B236" s="1">
        <v>45526</v>
      </c>
      <c r="C236" t="s">
        <v>9</v>
      </c>
      <c r="D236" t="s">
        <v>13</v>
      </c>
      <c r="E236">
        <v>29917</v>
      </c>
      <c r="F236">
        <v>10145</v>
      </c>
      <c r="G236">
        <v>4</v>
      </c>
    </row>
    <row r="237" spans="1:7" x14ac:dyDescent="0.3">
      <c r="A237">
        <v>1236</v>
      </c>
      <c r="B237" s="1">
        <v>45527</v>
      </c>
      <c r="C237" t="s">
        <v>9</v>
      </c>
      <c r="D237" t="s">
        <v>15</v>
      </c>
      <c r="E237">
        <v>26566</v>
      </c>
      <c r="F237">
        <v>13525</v>
      </c>
      <c r="G237">
        <v>1</v>
      </c>
    </row>
    <row r="238" spans="1:7" x14ac:dyDescent="0.3">
      <c r="A238">
        <v>1237</v>
      </c>
      <c r="B238" s="1">
        <v>45528</v>
      </c>
      <c r="C238" t="s">
        <v>14</v>
      </c>
      <c r="D238" t="s">
        <v>11</v>
      </c>
      <c r="E238">
        <v>67823</v>
      </c>
      <c r="F238">
        <v>3856</v>
      </c>
      <c r="G238">
        <v>7</v>
      </c>
    </row>
    <row r="239" spans="1:7" x14ac:dyDescent="0.3">
      <c r="A239">
        <v>1238</v>
      </c>
      <c r="B239" s="1">
        <v>45529</v>
      </c>
      <c r="C239" t="s">
        <v>14</v>
      </c>
      <c r="D239" t="s">
        <v>8</v>
      </c>
      <c r="E239">
        <v>25806</v>
      </c>
      <c r="F239">
        <v>9207</v>
      </c>
      <c r="G239">
        <v>2</v>
      </c>
    </row>
    <row r="240" spans="1:7" x14ac:dyDescent="0.3">
      <c r="A240">
        <v>1239</v>
      </c>
      <c r="B240" s="1">
        <v>45530</v>
      </c>
      <c r="C240" t="s">
        <v>7</v>
      </c>
      <c r="D240" t="s">
        <v>8</v>
      </c>
      <c r="E240">
        <v>6759</v>
      </c>
      <c r="F240">
        <v>14788</v>
      </c>
      <c r="G240">
        <v>5</v>
      </c>
    </row>
    <row r="241" spans="1:7" x14ac:dyDescent="0.3">
      <c r="A241">
        <v>1240</v>
      </c>
      <c r="B241" s="1">
        <v>45531</v>
      </c>
      <c r="C241" t="s">
        <v>9</v>
      </c>
      <c r="D241" t="s">
        <v>13</v>
      </c>
      <c r="E241">
        <v>46949</v>
      </c>
      <c r="F241">
        <v>7766</v>
      </c>
      <c r="G241">
        <v>1</v>
      </c>
    </row>
    <row r="242" spans="1:7" x14ac:dyDescent="0.3">
      <c r="A242">
        <v>1241</v>
      </c>
      <c r="B242" s="1">
        <v>45532</v>
      </c>
      <c r="C242" t="s">
        <v>14</v>
      </c>
      <c r="D242" t="s">
        <v>11</v>
      </c>
      <c r="E242">
        <v>7482</v>
      </c>
      <c r="F242">
        <v>7040</v>
      </c>
      <c r="G242">
        <v>3</v>
      </c>
    </row>
    <row r="243" spans="1:7" x14ac:dyDescent="0.3">
      <c r="A243">
        <v>1242</v>
      </c>
      <c r="B243" s="1">
        <v>45533</v>
      </c>
      <c r="C243" t="s">
        <v>7</v>
      </c>
      <c r="D243" t="s">
        <v>13</v>
      </c>
      <c r="E243">
        <v>29442</v>
      </c>
      <c r="F243">
        <v>538</v>
      </c>
      <c r="G243">
        <v>2</v>
      </c>
    </row>
    <row r="244" spans="1:7" x14ac:dyDescent="0.3">
      <c r="A244">
        <v>1243</v>
      </c>
      <c r="B244" s="1">
        <v>45534</v>
      </c>
      <c r="C244" t="s">
        <v>9</v>
      </c>
      <c r="D244" t="s">
        <v>12</v>
      </c>
      <c r="E244">
        <v>38719</v>
      </c>
      <c r="F244">
        <v>3842</v>
      </c>
      <c r="G244">
        <v>1</v>
      </c>
    </row>
    <row r="245" spans="1:7" x14ac:dyDescent="0.3">
      <c r="A245">
        <v>1244</v>
      </c>
      <c r="B245" s="1">
        <v>45535</v>
      </c>
      <c r="C245" t="s">
        <v>10</v>
      </c>
      <c r="D245" t="s">
        <v>13</v>
      </c>
      <c r="E245">
        <v>63066</v>
      </c>
      <c r="F245">
        <v>9578</v>
      </c>
      <c r="G245">
        <v>7</v>
      </c>
    </row>
    <row r="246" spans="1:7" x14ac:dyDescent="0.3">
      <c r="A246">
        <v>1245</v>
      </c>
      <c r="B246" s="1">
        <v>45536</v>
      </c>
      <c r="C246" t="s">
        <v>7</v>
      </c>
      <c r="D246" t="s">
        <v>13</v>
      </c>
      <c r="E246">
        <v>7079</v>
      </c>
      <c r="F246">
        <v>3344</v>
      </c>
      <c r="G246">
        <v>5</v>
      </c>
    </row>
    <row r="247" spans="1:7" x14ac:dyDescent="0.3">
      <c r="A247">
        <v>1246</v>
      </c>
      <c r="B247" s="1">
        <v>45537</v>
      </c>
      <c r="C247" t="s">
        <v>14</v>
      </c>
      <c r="D247" t="s">
        <v>8</v>
      </c>
      <c r="E247">
        <v>7717</v>
      </c>
      <c r="F247">
        <v>10896</v>
      </c>
      <c r="G247">
        <v>1</v>
      </c>
    </row>
    <row r="248" spans="1:7" x14ac:dyDescent="0.3">
      <c r="A248">
        <v>1247</v>
      </c>
      <c r="B248" s="1">
        <v>45538</v>
      </c>
      <c r="C248" t="s">
        <v>10</v>
      </c>
      <c r="D248" t="s">
        <v>8</v>
      </c>
      <c r="E248">
        <v>64676</v>
      </c>
      <c r="F248">
        <v>1598</v>
      </c>
      <c r="G248">
        <v>6</v>
      </c>
    </row>
    <row r="249" spans="1:7" x14ac:dyDescent="0.3">
      <c r="A249">
        <v>1248</v>
      </c>
      <c r="B249" s="1">
        <v>45539</v>
      </c>
      <c r="C249" t="s">
        <v>10</v>
      </c>
      <c r="D249" t="s">
        <v>8</v>
      </c>
      <c r="E249">
        <v>32952</v>
      </c>
      <c r="F249">
        <v>7527</v>
      </c>
      <c r="G249">
        <v>5</v>
      </c>
    </row>
    <row r="250" spans="1:7" x14ac:dyDescent="0.3">
      <c r="A250">
        <v>1249</v>
      </c>
      <c r="B250" s="1">
        <v>45540</v>
      </c>
      <c r="C250" t="s">
        <v>10</v>
      </c>
      <c r="D250" t="s">
        <v>12</v>
      </c>
      <c r="E250">
        <v>47460</v>
      </c>
      <c r="F250">
        <v>2323</v>
      </c>
      <c r="G250">
        <v>3</v>
      </c>
    </row>
    <row r="251" spans="1:7" x14ac:dyDescent="0.3">
      <c r="A251">
        <v>1250</v>
      </c>
      <c r="B251" s="1">
        <v>45541</v>
      </c>
      <c r="C251" t="s">
        <v>7</v>
      </c>
      <c r="D251" t="s">
        <v>8</v>
      </c>
      <c r="E251">
        <v>77847</v>
      </c>
      <c r="F251">
        <v>11893</v>
      </c>
      <c r="G251">
        <v>7</v>
      </c>
    </row>
    <row r="252" spans="1:7" x14ac:dyDescent="0.3">
      <c r="A252">
        <v>1251</v>
      </c>
      <c r="B252" s="1">
        <v>45542</v>
      </c>
      <c r="C252" t="s">
        <v>14</v>
      </c>
      <c r="D252" t="s">
        <v>11</v>
      </c>
      <c r="E252">
        <v>23449</v>
      </c>
      <c r="F252">
        <v>14498</v>
      </c>
      <c r="G252">
        <v>9</v>
      </c>
    </row>
    <row r="253" spans="1:7" x14ac:dyDescent="0.3">
      <c r="A253">
        <v>1252</v>
      </c>
      <c r="B253" s="1">
        <v>45543</v>
      </c>
      <c r="C253" t="s">
        <v>10</v>
      </c>
      <c r="D253" t="s">
        <v>15</v>
      </c>
      <c r="E253">
        <v>38536</v>
      </c>
      <c r="F253">
        <v>13761</v>
      </c>
      <c r="G253">
        <v>9</v>
      </c>
    </row>
    <row r="254" spans="1:7" x14ac:dyDescent="0.3">
      <c r="A254">
        <v>1253</v>
      </c>
      <c r="B254" s="1">
        <v>45544</v>
      </c>
      <c r="C254" t="s">
        <v>9</v>
      </c>
      <c r="D254" t="s">
        <v>11</v>
      </c>
      <c r="E254">
        <v>69077</v>
      </c>
      <c r="F254">
        <v>3655</v>
      </c>
      <c r="G254">
        <v>9</v>
      </c>
    </row>
    <row r="255" spans="1:7" x14ac:dyDescent="0.3">
      <c r="A255">
        <v>1254</v>
      </c>
      <c r="B255" s="1">
        <v>45545</v>
      </c>
      <c r="C255" t="s">
        <v>10</v>
      </c>
      <c r="D255" t="s">
        <v>11</v>
      </c>
      <c r="E255">
        <v>43258</v>
      </c>
      <c r="F255">
        <v>3593</v>
      </c>
      <c r="G255">
        <v>2</v>
      </c>
    </row>
    <row r="256" spans="1:7" x14ac:dyDescent="0.3">
      <c r="A256">
        <v>1255</v>
      </c>
      <c r="B256" s="1">
        <v>45546</v>
      </c>
      <c r="C256" t="s">
        <v>10</v>
      </c>
      <c r="D256" t="s">
        <v>8</v>
      </c>
      <c r="E256">
        <v>53302</v>
      </c>
      <c r="F256">
        <v>12222</v>
      </c>
      <c r="G256">
        <v>3</v>
      </c>
    </row>
    <row r="257" spans="1:7" x14ac:dyDescent="0.3">
      <c r="A257">
        <v>1256</v>
      </c>
      <c r="B257" s="1">
        <v>45547</v>
      </c>
      <c r="C257" t="s">
        <v>7</v>
      </c>
      <c r="D257" t="s">
        <v>15</v>
      </c>
      <c r="E257">
        <v>33865</v>
      </c>
      <c r="F257">
        <v>6158</v>
      </c>
      <c r="G257">
        <v>7</v>
      </c>
    </row>
    <row r="258" spans="1:7" x14ac:dyDescent="0.3">
      <c r="A258">
        <v>1257</v>
      </c>
      <c r="B258" s="1">
        <v>45548</v>
      </c>
      <c r="C258" t="s">
        <v>7</v>
      </c>
      <c r="D258" t="s">
        <v>15</v>
      </c>
      <c r="E258">
        <v>11645</v>
      </c>
      <c r="F258">
        <v>4278</v>
      </c>
      <c r="G258">
        <v>5</v>
      </c>
    </row>
    <row r="259" spans="1:7" x14ac:dyDescent="0.3">
      <c r="A259">
        <v>1258</v>
      </c>
      <c r="B259" s="1">
        <v>45549</v>
      </c>
      <c r="C259" t="s">
        <v>14</v>
      </c>
      <c r="D259" t="s">
        <v>15</v>
      </c>
      <c r="E259">
        <v>43000</v>
      </c>
      <c r="F259">
        <v>3396</v>
      </c>
      <c r="G259">
        <v>2</v>
      </c>
    </row>
    <row r="260" spans="1:7" x14ac:dyDescent="0.3">
      <c r="A260">
        <v>1259</v>
      </c>
      <c r="B260" s="1">
        <v>45550</v>
      </c>
      <c r="C260" t="s">
        <v>9</v>
      </c>
      <c r="D260" t="s">
        <v>12</v>
      </c>
      <c r="E260">
        <v>31737</v>
      </c>
      <c r="F260">
        <v>12145</v>
      </c>
      <c r="G260">
        <v>3</v>
      </c>
    </row>
    <row r="261" spans="1:7" x14ac:dyDescent="0.3">
      <c r="A261">
        <v>1260</v>
      </c>
      <c r="B261" s="1">
        <v>45551</v>
      </c>
      <c r="C261" t="s">
        <v>7</v>
      </c>
      <c r="D261" t="s">
        <v>8</v>
      </c>
      <c r="E261">
        <v>16485</v>
      </c>
      <c r="F261">
        <v>12203</v>
      </c>
      <c r="G261">
        <v>6</v>
      </c>
    </row>
    <row r="262" spans="1:7" x14ac:dyDescent="0.3">
      <c r="A262">
        <v>1261</v>
      </c>
      <c r="B262" s="1">
        <v>45552</v>
      </c>
      <c r="C262" t="s">
        <v>10</v>
      </c>
      <c r="D262" t="s">
        <v>15</v>
      </c>
      <c r="E262">
        <v>43565</v>
      </c>
      <c r="F262">
        <v>1488</v>
      </c>
      <c r="G262">
        <v>7</v>
      </c>
    </row>
    <row r="263" spans="1:7" x14ac:dyDescent="0.3">
      <c r="A263">
        <v>1262</v>
      </c>
      <c r="B263" s="1">
        <v>45553</v>
      </c>
      <c r="C263" t="s">
        <v>14</v>
      </c>
      <c r="D263" t="s">
        <v>12</v>
      </c>
      <c r="E263">
        <v>30522</v>
      </c>
      <c r="F263">
        <v>4616</v>
      </c>
      <c r="G263">
        <v>9</v>
      </c>
    </row>
    <row r="264" spans="1:7" x14ac:dyDescent="0.3">
      <c r="A264">
        <v>1263</v>
      </c>
      <c r="B264" s="1">
        <v>45554</v>
      </c>
      <c r="C264" t="s">
        <v>10</v>
      </c>
      <c r="D264" t="s">
        <v>13</v>
      </c>
      <c r="E264">
        <v>70155</v>
      </c>
      <c r="F264">
        <v>6946</v>
      </c>
      <c r="G264">
        <v>1</v>
      </c>
    </row>
    <row r="265" spans="1:7" x14ac:dyDescent="0.3">
      <c r="A265">
        <v>1264</v>
      </c>
      <c r="B265" s="1">
        <v>45555</v>
      </c>
      <c r="C265" t="s">
        <v>10</v>
      </c>
      <c r="D265" t="s">
        <v>13</v>
      </c>
      <c r="E265">
        <v>60168</v>
      </c>
      <c r="F265">
        <v>13656</v>
      </c>
      <c r="G265">
        <v>7</v>
      </c>
    </row>
    <row r="266" spans="1:7" x14ac:dyDescent="0.3">
      <c r="A266">
        <v>1265</v>
      </c>
      <c r="B266" s="1">
        <v>45556</v>
      </c>
      <c r="C266" t="s">
        <v>7</v>
      </c>
      <c r="D266" t="s">
        <v>12</v>
      </c>
      <c r="E266">
        <v>57487</v>
      </c>
      <c r="F266">
        <v>12718</v>
      </c>
      <c r="G266">
        <v>8</v>
      </c>
    </row>
    <row r="267" spans="1:7" x14ac:dyDescent="0.3">
      <c r="A267">
        <v>1266</v>
      </c>
      <c r="B267" s="1">
        <v>45557</v>
      </c>
      <c r="C267" t="s">
        <v>14</v>
      </c>
      <c r="D267" t="s">
        <v>12</v>
      </c>
      <c r="E267">
        <v>17342</v>
      </c>
      <c r="F267">
        <v>4679</v>
      </c>
      <c r="G267">
        <v>3</v>
      </c>
    </row>
    <row r="268" spans="1:7" x14ac:dyDescent="0.3">
      <c r="A268">
        <v>1267</v>
      </c>
      <c r="B268" s="1">
        <v>45558</v>
      </c>
      <c r="C268" t="s">
        <v>9</v>
      </c>
      <c r="D268" t="s">
        <v>8</v>
      </c>
      <c r="E268">
        <v>45806</v>
      </c>
      <c r="F268">
        <v>2182</v>
      </c>
      <c r="G268">
        <v>4</v>
      </c>
    </row>
    <row r="269" spans="1:7" x14ac:dyDescent="0.3">
      <c r="A269">
        <v>1268</v>
      </c>
      <c r="B269" s="1">
        <v>45559</v>
      </c>
      <c r="C269" t="s">
        <v>9</v>
      </c>
      <c r="D269" t="s">
        <v>8</v>
      </c>
      <c r="E269">
        <v>53770</v>
      </c>
      <c r="F269">
        <v>14764</v>
      </c>
      <c r="G269">
        <v>6</v>
      </c>
    </row>
    <row r="270" spans="1:7" x14ac:dyDescent="0.3">
      <c r="A270">
        <v>1269</v>
      </c>
      <c r="B270" s="1">
        <v>45560</v>
      </c>
      <c r="C270" t="s">
        <v>7</v>
      </c>
      <c r="D270" t="s">
        <v>13</v>
      </c>
      <c r="E270">
        <v>57603</v>
      </c>
      <c r="F270">
        <v>14198</v>
      </c>
      <c r="G270">
        <v>7</v>
      </c>
    </row>
    <row r="271" spans="1:7" x14ac:dyDescent="0.3">
      <c r="A271">
        <v>1270</v>
      </c>
      <c r="B271" s="1">
        <v>45561</v>
      </c>
      <c r="C271" t="s">
        <v>7</v>
      </c>
      <c r="D271" t="s">
        <v>15</v>
      </c>
      <c r="E271">
        <v>31399</v>
      </c>
      <c r="F271">
        <v>6126</v>
      </c>
      <c r="G271">
        <v>4</v>
      </c>
    </row>
    <row r="272" spans="1:7" x14ac:dyDescent="0.3">
      <c r="A272">
        <v>1271</v>
      </c>
      <c r="B272" s="1">
        <v>45562</v>
      </c>
      <c r="C272" t="s">
        <v>14</v>
      </c>
      <c r="D272" t="s">
        <v>13</v>
      </c>
      <c r="E272">
        <v>60106</v>
      </c>
      <c r="F272">
        <v>7924</v>
      </c>
      <c r="G272">
        <v>8</v>
      </c>
    </row>
    <row r="273" spans="1:7" x14ac:dyDescent="0.3">
      <c r="A273">
        <v>1272</v>
      </c>
      <c r="B273" s="1">
        <v>45563</v>
      </c>
      <c r="C273" t="s">
        <v>9</v>
      </c>
      <c r="D273" t="s">
        <v>15</v>
      </c>
      <c r="E273">
        <v>35678</v>
      </c>
      <c r="F273">
        <v>13357</v>
      </c>
      <c r="G273">
        <v>5</v>
      </c>
    </row>
    <row r="274" spans="1:7" x14ac:dyDescent="0.3">
      <c r="A274">
        <v>1273</v>
      </c>
      <c r="B274" s="1">
        <v>45564</v>
      </c>
      <c r="C274" t="s">
        <v>9</v>
      </c>
      <c r="D274" t="s">
        <v>15</v>
      </c>
      <c r="E274">
        <v>68230</v>
      </c>
      <c r="F274">
        <v>12655</v>
      </c>
      <c r="G274">
        <v>1</v>
      </c>
    </row>
    <row r="275" spans="1:7" x14ac:dyDescent="0.3">
      <c r="A275">
        <v>1274</v>
      </c>
      <c r="B275" s="1">
        <v>45565</v>
      </c>
      <c r="C275" t="s">
        <v>9</v>
      </c>
      <c r="D275" t="s">
        <v>8</v>
      </c>
      <c r="E275">
        <v>79055</v>
      </c>
      <c r="F275">
        <v>1433</v>
      </c>
      <c r="G275">
        <v>4</v>
      </c>
    </row>
    <row r="276" spans="1:7" x14ac:dyDescent="0.3">
      <c r="A276">
        <v>1275</v>
      </c>
      <c r="B276" s="1">
        <v>45566</v>
      </c>
      <c r="C276" t="s">
        <v>10</v>
      </c>
      <c r="D276" t="s">
        <v>11</v>
      </c>
      <c r="E276">
        <v>61373</v>
      </c>
      <c r="F276">
        <v>4098</v>
      </c>
      <c r="G276">
        <v>3</v>
      </c>
    </row>
    <row r="277" spans="1:7" x14ac:dyDescent="0.3">
      <c r="A277">
        <v>1276</v>
      </c>
      <c r="B277" s="1">
        <v>45567</v>
      </c>
      <c r="C277" t="s">
        <v>9</v>
      </c>
      <c r="D277" t="s">
        <v>11</v>
      </c>
      <c r="E277">
        <v>36480</v>
      </c>
      <c r="F277">
        <v>11925</v>
      </c>
      <c r="G277">
        <v>9</v>
      </c>
    </row>
    <row r="278" spans="1:7" x14ac:dyDescent="0.3">
      <c r="A278">
        <v>1277</v>
      </c>
      <c r="B278" s="1">
        <v>45568</v>
      </c>
      <c r="C278" t="s">
        <v>10</v>
      </c>
      <c r="D278" t="s">
        <v>12</v>
      </c>
      <c r="E278">
        <v>73836</v>
      </c>
      <c r="F278">
        <v>2480</v>
      </c>
      <c r="G278">
        <v>8</v>
      </c>
    </row>
    <row r="279" spans="1:7" x14ac:dyDescent="0.3">
      <c r="A279">
        <v>1278</v>
      </c>
      <c r="B279" s="1">
        <v>45569</v>
      </c>
      <c r="C279" t="s">
        <v>14</v>
      </c>
      <c r="D279" t="s">
        <v>8</v>
      </c>
      <c r="E279">
        <v>77258</v>
      </c>
      <c r="F279">
        <v>10547</v>
      </c>
      <c r="G279">
        <v>1</v>
      </c>
    </row>
    <row r="280" spans="1:7" x14ac:dyDescent="0.3">
      <c r="A280">
        <v>1279</v>
      </c>
      <c r="B280" s="1">
        <v>45570</v>
      </c>
      <c r="C280" t="s">
        <v>10</v>
      </c>
      <c r="D280" t="s">
        <v>15</v>
      </c>
      <c r="E280">
        <v>44986</v>
      </c>
      <c r="F280">
        <v>3556</v>
      </c>
      <c r="G280">
        <v>6</v>
      </c>
    </row>
    <row r="281" spans="1:7" x14ac:dyDescent="0.3">
      <c r="A281">
        <v>1280</v>
      </c>
      <c r="B281" s="1">
        <v>45571</v>
      </c>
      <c r="C281" t="s">
        <v>14</v>
      </c>
      <c r="D281" t="s">
        <v>11</v>
      </c>
      <c r="E281">
        <v>29160</v>
      </c>
      <c r="F281">
        <v>9484</v>
      </c>
      <c r="G281">
        <v>9</v>
      </c>
    </row>
    <row r="282" spans="1:7" x14ac:dyDescent="0.3">
      <c r="A282">
        <v>1281</v>
      </c>
      <c r="B282" s="1">
        <v>45572</v>
      </c>
      <c r="C282" t="s">
        <v>9</v>
      </c>
      <c r="D282" t="s">
        <v>15</v>
      </c>
      <c r="E282">
        <v>69929</v>
      </c>
      <c r="F282">
        <v>1291</v>
      </c>
      <c r="G282">
        <v>7</v>
      </c>
    </row>
    <row r="283" spans="1:7" x14ac:dyDescent="0.3">
      <c r="A283">
        <v>1282</v>
      </c>
      <c r="B283" s="1">
        <v>45573</v>
      </c>
      <c r="C283" t="s">
        <v>9</v>
      </c>
      <c r="D283" t="s">
        <v>11</v>
      </c>
      <c r="E283">
        <v>78506</v>
      </c>
      <c r="F283">
        <v>10501</v>
      </c>
      <c r="G283">
        <v>4</v>
      </c>
    </row>
    <row r="284" spans="1:7" x14ac:dyDescent="0.3">
      <c r="A284">
        <v>1283</v>
      </c>
      <c r="B284" s="1">
        <v>45574</v>
      </c>
      <c r="C284" t="s">
        <v>14</v>
      </c>
      <c r="D284" t="s">
        <v>11</v>
      </c>
      <c r="E284">
        <v>39911</v>
      </c>
      <c r="F284">
        <v>5890</v>
      </c>
      <c r="G284">
        <v>1</v>
      </c>
    </row>
    <row r="285" spans="1:7" x14ac:dyDescent="0.3">
      <c r="A285">
        <v>1284</v>
      </c>
      <c r="B285" s="1">
        <v>45575</v>
      </c>
      <c r="C285" t="s">
        <v>7</v>
      </c>
      <c r="D285" t="s">
        <v>11</v>
      </c>
      <c r="E285">
        <v>36821</v>
      </c>
      <c r="F285">
        <v>7135</v>
      </c>
      <c r="G285">
        <v>2</v>
      </c>
    </row>
    <row r="286" spans="1:7" x14ac:dyDescent="0.3">
      <c r="A286">
        <v>1285</v>
      </c>
      <c r="B286" s="1">
        <v>45576</v>
      </c>
      <c r="C286" t="s">
        <v>14</v>
      </c>
      <c r="D286" t="s">
        <v>8</v>
      </c>
      <c r="E286">
        <v>65535</v>
      </c>
      <c r="F286">
        <v>2755</v>
      </c>
      <c r="G286">
        <v>5</v>
      </c>
    </row>
    <row r="287" spans="1:7" x14ac:dyDescent="0.3">
      <c r="A287">
        <v>1286</v>
      </c>
      <c r="B287" s="1">
        <v>45577</v>
      </c>
      <c r="C287" t="s">
        <v>7</v>
      </c>
      <c r="D287" t="s">
        <v>13</v>
      </c>
      <c r="E287">
        <v>17175</v>
      </c>
      <c r="F287">
        <v>4110</v>
      </c>
      <c r="G287">
        <v>5</v>
      </c>
    </row>
    <row r="288" spans="1:7" x14ac:dyDescent="0.3">
      <c r="A288">
        <v>1287</v>
      </c>
      <c r="B288" s="1">
        <v>45578</v>
      </c>
      <c r="C288" t="s">
        <v>10</v>
      </c>
      <c r="D288" t="s">
        <v>15</v>
      </c>
      <c r="E288">
        <v>59771</v>
      </c>
      <c r="F288">
        <v>2107</v>
      </c>
      <c r="G288">
        <v>8</v>
      </c>
    </row>
    <row r="289" spans="1:7" x14ac:dyDescent="0.3">
      <c r="A289">
        <v>1288</v>
      </c>
      <c r="B289" s="1">
        <v>45579</v>
      </c>
      <c r="C289" t="s">
        <v>10</v>
      </c>
      <c r="D289" t="s">
        <v>8</v>
      </c>
      <c r="E289">
        <v>71358</v>
      </c>
      <c r="F289">
        <v>5679</v>
      </c>
      <c r="G289">
        <v>6</v>
      </c>
    </row>
    <row r="290" spans="1:7" x14ac:dyDescent="0.3">
      <c r="A290">
        <v>1289</v>
      </c>
      <c r="B290" s="1">
        <v>45580</v>
      </c>
      <c r="C290" t="s">
        <v>10</v>
      </c>
      <c r="D290" t="s">
        <v>8</v>
      </c>
      <c r="E290">
        <v>22327</v>
      </c>
      <c r="F290">
        <v>7073</v>
      </c>
      <c r="G290">
        <v>8</v>
      </c>
    </row>
    <row r="291" spans="1:7" x14ac:dyDescent="0.3">
      <c r="A291">
        <v>1290</v>
      </c>
      <c r="B291" s="1">
        <v>45581</v>
      </c>
      <c r="C291" t="s">
        <v>9</v>
      </c>
      <c r="D291" t="s">
        <v>8</v>
      </c>
      <c r="E291">
        <v>52057</v>
      </c>
      <c r="F291">
        <v>1484</v>
      </c>
      <c r="G291">
        <v>2</v>
      </c>
    </row>
    <row r="292" spans="1:7" x14ac:dyDescent="0.3">
      <c r="A292">
        <v>1291</v>
      </c>
      <c r="B292" s="1">
        <v>45582</v>
      </c>
      <c r="C292" t="s">
        <v>10</v>
      </c>
      <c r="D292" t="s">
        <v>8</v>
      </c>
      <c r="E292">
        <v>11150</v>
      </c>
      <c r="F292">
        <v>6276</v>
      </c>
      <c r="G292">
        <v>3</v>
      </c>
    </row>
    <row r="293" spans="1:7" x14ac:dyDescent="0.3">
      <c r="A293">
        <v>1292</v>
      </c>
      <c r="B293" s="1">
        <v>45583</v>
      </c>
      <c r="C293" t="s">
        <v>7</v>
      </c>
      <c r="D293" t="s">
        <v>8</v>
      </c>
      <c r="E293">
        <v>9425</v>
      </c>
      <c r="F293">
        <v>4176</v>
      </c>
      <c r="G293">
        <v>6</v>
      </c>
    </row>
    <row r="294" spans="1:7" x14ac:dyDescent="0.3">
      <c r="A294">
        <v>1293</v>
      </c>
      <c r="B294" s="1">
        <v>45584</v>
      </c>
      <c r="C294" t="s">
        <v>10</v>
      </c>
      <c r="D294" t="s">
        <v>12</v>
      </c>
      <c r="E294">
        <v>21032</v>
      </c>
      <c r="F294">
        <v>3880</v>
      </c>
      <c r="G294">
        <v>3</v>
      </c>
    </row>
    <row r="295" spans="1:7" x14ac:dyDescent="0.3">
      <c r="A295">
        <v>1294</v>
      </c>
      <c r="B295" s="1">
        <v>45585</v>
      </c>
      <c r="C295" t="s">
        <v>14</v>
      </c>
      <c r="D295" t="s">
        <v>15</v>
      </c>
      <c r="E295">
        <v>7198</v>
      </c>
      <c r="F295">
        <v>9211</v>
      </c>
      <c r="G295">
        <v>6</v>
      </c>
    </row>
    <row r="296" spans="1:7" x14ac:dyDescent="0.3">
      <c r="A296">
        <v>1295</v>
      </c>
      <c r="B296" s="1">
        <v>45586</v>
      </c>
      <c r="C296" t="s">
        <v>14</v>
      </c>
      <c r="D296" t="s">
        <v>8</v>
      </c>
      <c r="E296">
        <v>65500</v>
      </c>
      <c r="F296">
        <v>9282</v>
      </c>
      <c r="G296">
        <v>6</v>
      </c>
    </row>
    <row r="297" spans="1:7" x14ac:dyDescent="0.3">
      <c r="A297">
        <v>1296</v>
      </c>
      <c r="B297" s="1">
        <v>45587</v>
      </c>
      <c r="C297" t="s">
        <v>9</v>
      </c>
      <c r="D297" t="s">
        <v>15</v>
      </c>
      <c r="E297">
        <v>58394</v>
      </c>
      <c r="F297">
        <v>1550</v>
      </c>
      <c r="G297">
        <v>2</v>
      </c>
    </row>
    <row r="298" spans="1:7" x14ac:dyDescent="0.3">
      <c r="A298">
        <v>1297</v>
      </c>
      <c r="B298" s="1">
        <v>45588</v>
      </c>
      <c r="C298" t="s">
        <v>14</v>
      </c>
      <c r="D298" t="s">
        <v>12</v>
      </c>
      <c r="E298">
        <v>25079</v>
      </c>
      <c r="F298">
        <v>14497</v>
      </c>
      <c r="G298">
        <v>7</v>
      </c>
    </row>
    <row r="299" spans="1:7" x14ac:dyDescent="0.3">
      <c r="A299">
        <v>1298</v>
      </c>
      <c r="B299" s="1">
        <v>45589</v>
      </c>
      <c r="C299" t="s">
        <v>7</v>
      </c>
      <c r="D299" t="s">
        <v>12</v>
      </c>
      <c r="E299">
        <v>41220</v>
      </c>
      <c r="F299">
        <v>4133</v>
      </c>
      <c r="G299">
        <v>2</v>
      </c>
    </row>
    <row r="300" spans="1:7" x14ac:dyDescent="0.3">
      <c r="A300">
        <v>1299</v>
      </c>
      <c r="B300" s="1">
        <v>45590</v>
      </c>
      <c r="C300" t="s">
        <v>10</v>
      </c>
      <c r="D300" t="s">
        <v>15</v>
      </c>
      <c r="E300">
        <v>46874</v>
      </c>
      <c r="F300">
        <v>14823</v>
      </c>
      <c r="G300">
        <v>6</v>
      </c>
    </row>
    <row r="301" spans="1:7" x14ac:dyDescent="0.3">
      <c r="A301">
        <v>1300</v>
      </c>
      <c r="B301" s="1">
        <v>45591</v>
      </c>
      <c r="C301" t="s">
        <v>9</v>
      </c>
      <c r="D301" t="s">
        <v>11</v>
      </c>
      <c r="E301">
        <v>18859</v>
      </c>
      <c r="F301">
        <v>6842</v>
      </c>
      <c r="G301">
        <v>1</v>
      </c>
    </row>
    <row r="302" spans="1:7" x14ac:dyDescent="0.3">
      <c r="A302">
        <v>1301</v>
      </c>
      <c r="B302" s="1">
        <v>45592</v>
      </c>
      <c r="C302" t="s">
        <v>10</v>
      </c>
      <c r="D302" t="s">
        <v>13</v>
      </c>
      <c r="E302">
        <v>55460</v>
      </c>
      <c r="F302">
        <v>13136</v>
      </c>
      <c r="G302">
        <v>3</v>
      </c>
    </row>
    <row r="303" spans="1:7" x14ac:dyDescent="0.3">
      <c r="A303">
        <v>1302</v>
      </c>
      <c r="B303" s="1">
        <v>45593</v>
      </c>
      <c r="C303" t="s">
        <v>10</v>
      </c>
      <c r="D303" t="s">
        <v>11</v>
      </c>
      <c r="E303">
        <v>36419</v>
      </c>
      <c r="F303">
        <v>1459</v>
      </c>
      <c r="G303">
        <v>2</v>
      </c>
    </row>
    <row r="304" spans="1:7" x14ac:dyDescent="0.3">
      <c r="A304">
        <v>1303</v>
      </c>
      <c r="B304" s="1">
        <v>45594</v>
      </c>
      <c r="C304" t="s">
        <v>7</v>
      </c>
      <c r="D304" t="s">
        <v>11</v>
      </c>
      <c r="E304">
        <v>13705</v>
      </c>
      <c r="F304">
        <v>6559</v>
      </c>
      <c r="G304">
        <v>7</v>
      </c>
    </row>
    <row r="305" spans="1:7" x14ac:dyDescent="0.3">
      <c r="A305">
        <v>1304</v>
      </c>
      <c r="B305" s="1">
        <v>45595</v>
      </c>
      <c r="C305" t="s">
        <v>14</v>
      </c>
      <c r="D305" t="s">
        <v>11</v>
      </c>
      <c r="E305">
        <v>47880</v>
      </c>
      <c r="F305">
        <v>9384</v>
      </c>
      <c r="G305">
        <v>4</v>
      </c>
    </row>
    <row r="306" spans="1:7" x14ac:dyDescent="0.3">
      <c r="A306">
        <v>1305</v>
      </c>
      <c r="B306" s="1">
        <v>45596</v>
      </c>
      <c r="C306" t="s">
        <v>14</v>
      </c>
      <c r="D306" t="s">
        <v>8</v>
      </c>
      <c r="E306">
        <v>28236</v>
      </c>
      <c r="F306">
        <v>6155</v>
      </c>
      <c r="G306">
        <v>8</v>
      </c>
    </row>
    <row r="307" spans="1:7" x14ac:dyDescent="0.3">
      <c r="A307">
        <v>1306</v>
      </c>
      <c r="B307" s="1">
        <v>45597</v>
      </c>
      <c r="C307" t="s">
        <v>10</v>
      </c>
      <c r="D307" t="s">
        <v>12</v>
      </c>
      <c r="E307">
        <v>20358</v>
      </c>
      <c r="F307">
        <v>12591</v>
      </c>
      <c r="G307">
        <v>6</v>
      </c>
    </row>
    <row r="308" spans="1:7" x14ac:dyDescent="0.3">
      <c r="A308">
        <v>1307</v>
      </c>
      <c r="B308" s="1">
        <v>45598</v>
      </c>
      <c r="C308" t="s">
        <v>9</v>
      </c>
      <c r="D308" t="s">
        <v>11</v>
      </c>
      <c r="E308">
        <v>19596</v>
      </c>
      <c r="F308">
        <v>4973</v>
      </c>
      <c r="G308">
        <v>4</v>
      </c>
    </row>
    <row r="309" spans="1:7" x14ac:dyDescent="0.3">
      <c r="A309">
        <v>1308</v>
      </c>
      <c r="B309" s="1">
        <v>45599</v>
      </c>
      <c r="C309" t="s">
        <v>14</v>
      </c>
      <c r="D309" t="s">
        <v>12</v>
      </c>
      <c r="E309">
        <v>38572</v>
      </c>
      <c r="F309">
        <v>3446</v>
      </c>
      <c r="G309">
        <v>5</v>
      </c>
    </row>
    <row r="310" spans="1:7" x14ac:dyDescent="0.3">
      <c r="A310">
        <v>1309</v>
      </c>
      <c r="B310" s="1">
        <v>45600</v>
      </c>
      <c r="C310" t="s">
        <v>9</v>
      </c>
      <c r="D310" t="s">
        <v>15</v>
      </c>
      <c r="E310">
        <v>6279</v>
      </c>
      <c r="F310">
        <v>8225</v>
      </c>
      <c r="G310">
        <v>9</v>
      </c>
    </row>
    <row r="311" spans="1:7" x14ac:dyDescent="0.3">
      <c r="A311">
        <v>1310</v>
      </c>
      <c r="B311" s="1">
        <v>45601</v>
      </c>
      <c r="C311" t="s">
        <v>14</v>
      </c>
      <c r="D311" t="s">
        <v>13</v>
      </c>
      <c r="E311">
        <v>68197</v>
      </c>
      <c r="F311">
        <v>1026</v>
      </c>
      <c r="G311">
        <v>7</v>
      </c>
    </row>
    <row r="312" spans="1:7" x14ac:dyDescent="0.3">
      <c r="A312">
        <v>1311</v>
      </c>
      <c r="B312" s="1">
        <v>45602</v>
      </c>
      <c r="C312" t="s">
        <v>9</v>
      </c>
      <c r="D312" t="s">
        <v>15</v>
      </c>
      <c r="E312">
        <v>67516</v>
      </c>
      <c r="F312">
        <v>3724</v>
      </c>
      <c r="G312">
        <v>9</v>
      </c>
    </row>
    <row r="313" spans="1:7" x14ac:dyDescent="0.3">
      <c r="A313">
        <v>1312</v>
      </c>
      <c r="B313" s="1">
        <v>45603</v>
      </c>
      <c r="C313" t="s">
        <v>7</v>
      </c>
      <c r="D313" t="s">
        <v>15</v>
      </c>
      <c r="E313">
        <v>12083</v>
      </c>
      <c r="F313">
        <v>10945</v>
      </c>
      <c r="G313">
        <v>7</v>
      </c>
    </row>
    <row r="314" spans="1:7" x14ac:dyDescent="0.3">
      <c r="A314">
        <v>1313</v>
      </c>
      <c r="B314" s="1">
        <v>45604</v>
      </c>
      <c r="C314" t="s">
        <v>9</v>
      </c>
      <c r="D314" t="s">
        <v>8</v>
      </c>
      <c r="E314">
        <v>22771</v>
      </c>
      <c r="F314">
        <v>12036</v>
      </c>
      <c r="G314">
        <v>1</v>
      </c>
    </row>
    <row r="315" spans="1:7" x14ac:dyDescent="0.3">
      <c r="A315">
        <v>1314</v>
      </c>
      <c r="B315" s="1">
        <v>45605</v>
      </c>
      <c r="C315" t="s">
        <v>7</v>
      </c>
      <c r="D315" t="s">
        <v>13</v>
      </c>
      <c r="E315">
        <v>34975</v>
      </c>
      <c r="F315">
        <v>12657</v>
      </c>
      <c r="G315">
        <v>8</v>
      </c>
    </row>
    <row r="316" spans="1:7" x14ac:dyDescent="0.3">
      <c r="A316">
        <v>1315</v>
      </c>
      <c r="B316" s="1">
        <v>45606</v>
      </c>
      <c r="C316" t="s">
        <v>7</v>
      </c>
      <c r="D316" t="s">
        <v>15</v>
      </c>
      <c r="E316">
        <v>50648</v>
      </c>
      <c r="F316">
        <v>14047</v>
      </c>
      <c r="G316">
        <v>4</v>
      </c>
    </row>
    <row r="317" spans="1:7" x14ac:dyDescent="0.3">
      <c r="A317">
        <v>1316</v>
      </c>
      <c r="B317" s="1">
        <v>45607</v>
      </c>
      <c r="C317" t="s">
        <v>9</v>
      </c>
      <c r="D317" t="s">
        <v>15</v>
      </c>
      <c r="E317">
        <v>53285</v>
      </c>
      <c r="F317">
        <v>2375</v>
      </c>
      <c r="G317">
        <v>3</v>
      </c>
    </row>
    <row r="318" spans="1:7" x14ac:dyDescent="0.3">
      <c r="A318">
        <v>1317</v>
      </c>
      <c r="B318" s="1">
        <v>45608</v>
      </c>
      <c r="C318" t="s">
        <v>7</v>
      </c>
      <c r="D318" t="s">
        <v>13</v>
      </c>
      <c r="E318">
        <v>24063</v>
      </c>
      <c r="F318">
        <v>2263</v>
      </c>
      <c r="G318">
        <v>7</v>
      </c>
    </row>
    <row r="319" spans="1:7" x14ac:dyDescent="0.3">
      <c r="A319">
        <v>1318</v>
      </c>
      <c r="B319" s="1">
        <v>45609</v>
      </c>
      <c r="C319" t="s">
        <v>10</v>
      </c>
      <c r="D319" t="s">
        <v>13</v>
      </c>
      <c r="E319">
        <v>72642</v>
      </c>
      <c r="F319">
        <v>9212</v>
      </c>
      <c r="G319">
        <v>3</v>
      </c>
    </row>
    <row r="320" spans="1:7" x14ac:dyDescent="0.3">
      <c r="A320">
        <v>1319</v>
      </c>
      <c r="B320" s="1">
        <v>45610</v>
      </c>
      <c r="C320" t="s">
        <v>7</v>
      </c>
      <c r="D320" t="s">
        <v>15</v>
      </c>
      <c r="E320">
        <v>42599</v>
      </c>
      <c r="F320">
        <v>6297</v>
      </c>
      <c r="G320">
        <v>8</v>
      </c>
    </row>
    <row r="321" spans="1:7" x14ac:dyDescent="0.3">
      <c r="A321">
        <v>1320</v>
      </c>
      <c r="B321" s="1">
        <v>45611</v>
      </c>
      <c r="C321" t="s">
        <v>14</v>
      </c>
      <c r="D321" t="s">
        <v>13</v>
      </c>
      <c r="E321">
        <v>56920</v>
      </c>
      <c r="F321">
        <v>9708</v>
      </c>
      <c r="G321">
        <v>6</v>
      </c>
    </row>
    <row r="322" spans="1:7" x14ac:dyDescent="0.3">
      <c r="A322">
        <v>1321</v>
      </c>
      <c r="B322" s="1">
        <v>45612</v>
      </c>
      <c r="C322" t="s">
        <v>9</v>
      </c>
      <c r="D322" t="s">
        <v>15</v>
      </c>
      <c r="E322">
        <v>33529</v>
      </c>
      <c r="F322">
        <v>7599</v>
      </c>
      <c r="G322">
        <v>5</v>
      </c>
    </row>
    <row r="323" spans="1:7" x14ac:dyDescent="0.3">
      <c r="A323">
        <v>1322</v>
      </c>
      <c r="B323" s="1">
        <v>45613</v>
      </c>
      <c r="C323" t="s">
        <v>10</v>
      </c>
      <c r="D323" t="s">
        <v>15</v>
      </c>
      <c r="E323">
        <v>40954</v>
      </c>
      <c r="F323">
        <v>5609</v>
      </c>
      <c r="G323">
        <v>4</v>
      </c>
    </row>
    <row r="324" spans="1:7" x14ac:dyDescent="0.3">
      <c r="A324">
        <v>1323</v>
      </c>
      <c r="B324" s="1">
        <v>45614</v>
      </c>
      <c r="C324" t="s">
        <v>9</v>
      </c>
      <c r="D324" t="s">
        <v>8</v>
      </c>
      <c r="E324">
        <v>32856</v>
      </c>
      <c r="F324">
        <v>7144</v>
      </c>
      <c r="G324">
        <v>8</v>
      </c>
    </row>
    <row r="325" spans="1:7" x14ac:dyDescent="0.3">
      <c r="A325">
        <v>1324</v>
      </c>
      <c r="B325" s="1">
        <v>45615</v>
      </c>
      <c r="C325" t="s">
        <v>14</v>
      </c>
      <c r="D325" t="s">
        <v>11</v>
      </c>
      <c r="E325">
        <v>7573</v>
      </c>
      <c r="F325">
        <v>616</v>
      </c>
      <c r="G325">
        <v>8</v>
      </c>
    </row>
    <row r="326" spans="1:7" x14ac:dyDescent="0.3">
      <c r="A326">
        <v>1325</v>
      </c>
      <c r="B326" s="1">
        <v>45616</v>
      </c>
      <c r="C326" t="s">
        <v>14</v>
      </c>
      <c r="D326" t="s">
        <v>15</v>
      </c>
      <c r="E326">
        <v>40367</v>
      </c>
      <c r="F326">
        <v>2933</v>
      </c>
      <c r="G326">
        <v>1</v>
      </c>
    </row>
    <row r="327" spans="1:7" x14ac:dyDescent="0.3">
      <c r="A327">
        <v>1326</v>
      </c>
      <c r="B327" s="1">
        <v>45617</v>
      </c>
      <c r="C327" t="s">
        <v>14</v>
      </c>
      <c r="D327" t="s">
        <v>12</v>
      </c>
      <c r="E327">
        <v>65774</v>
      </c>
      <c r="F327">
        <v>5963</v>
      </c>
      <c r="G327">
        <v>9</v>
      </c>
    </row>
    <row r="328" spans="1:7" x14ac:dyDescent="0.3">
      <c r="A328">
        <v>1327</v>
      </c>
      <c r="B328" s="1">
        <v>45618</v>
      </c>
      <c r="C328" t="s">
        <v>7</v>
      </c>
      <c r="D328" t="s">
        <v>11</v>
      </c>
      <c r="E328">
        <v>28752</v>
      </c>
      <c r="F328">
        <v>1083</v>
      </c>
      <c r="G328">
        <v>5</v>
      </c>
    </row>
    <row r="329" spans="1:7" x14ac:dyDescent="0.3">
      <c r="A329">
        <v>1328</v>
      </c>
      <c r="B329" s="1">
        <v>45619</v>
      </c>
      <c r="C329" t="s">
        <v>7</v>
      </c>
      <c r="D329" t="s">
        <v>11</v>
      </c>
      <c r="E329">
        <v>60029</v>
      </c>
      <c r="F329">
        <v>9086</v>
      </c>
      <c r="G329">
        <v>4</v>
      </c>
    </row>
    <row r="330" spans="1:7" x14ac:dyDescent="0.3">
      <c r="A330">
        <v>1329</v>
      </c>
      <c r="B330" s="1">
        <v>45620</v>
      </c>
      <c r="C330" t="s">
        <v>9</v>
      </c>
      <c r="D330" t="s">
        <v>11</v>
      </c>
      <c r="E330">
        <v>22685</v>
      </c>
      <c r="F330">
        <v>13875</v>
      </c>
      <c r="G330">
        <v>6</v>
      </c>
    </row>
    <row r="331" spans="1:7" x14ac:dyDescent="0.3">
      <c r="A331">
        <v>1330</v>
      </c>
      <c r="B331" s="1">
        <v>45621</v>
      </c>
      <c r="C331" t="s">
        <v>9</v>
      </c>
      <c r="D331" t="s">
        <v>8</v>
      </c>
      <c r="E331">
        <v>56693</v>
      </c>
      <c r="F331">
        <v>4288</v>
      </c>
      <c r="G331">
        <v>6</v>
      </c>
    </row>
    <row r="332" spans="1:7" x14ac:dyDescent="0.3">
      <c r="A332">
        <v>1331</v>
      </c>
      <c r="B332" s="1">
        <v>45622</v>
      </c>
      <c r="C332" t="s">
        <v>10</v>
      </c>
      <c r="D332" t="s">
        <v>15</v>
      </c>
      <c r="E332">
        <v>60961</v>
      </c>
      <c r="F332">
        <v>11460</v>
      </c>
      <c r="G332">
        <v>2</v>
      </c>
    </row>
    <row r="333" spans="1:7" x14ac:dyDescent="0.3">
      <c r="A333">
        <v>1332</v>
      </c>
      <c r="B333" s="1">
        <v>45623</v>
      </c>
      <c r="C333" t="s">
        <v>10</v>
      </c>
      <c r="D333" t="s">
        <v>8</v>
      </c>
      <c r="E333">
        <v>79532</v>
      </c>
      <c r="F333">
        <v>4667</v>
      </c>
      <c r="G333">
        <v>8</v>
      </c>
    </row>
    <row r="334" spans="1:7" x14ac:dyDescent="0.3">
      <c r="A334">
        <v>1333</v>
      </c>
      <c r="B334" s="1">
        <v>45624</v>
      </c>
      <c r="C334" t="s">
        <v>9</v>
      </c>
      <c r="D334" t="s">
        <v>15</v>
      </c>
      <c r="E334">
        <v>61133</v>
      </c>
      <c r="F334">
        <v>12552</v>
      </c>
      <c r="G334">
        <v>7</v>
      </c>
    </row>
    <row r="335" spans="1:7" x14ac:dyDescent="0.3">
      <c r="A335">
        <v>1334</v>
      </c>
      <c r="B335" s="1">
        <v>45625</v>
      </c>
      <c r="C335" t="s">
        <v>7</v>
      </c>
      <c r="D335" t="s">
        <v>8</v>
      </c>
      <c r="E335">
        <v>66268</v>
      </c>
      <c r="F335">
        <v>8965</v>
      </c>
      <c r="G335">
        <v>1</v>
      </c>
    </row>
    <row r="336" spans="1:7" x14ac:dyDescent="0.3">
      <c r="A336">
        <v>1335</v>
      </c>
      <c r="B336" s="1">
        <v>45626</v>
      </c>
      <c r="C336" t="s">
        <v>14</v>
      </c>
      <c r="D336" t="s">
        <v>8</v>
      </c>
      <c r="E336">
        <v>43243</v>
      </c>
      <c r="F336">
        <v>10705</v>
      </c>
      <c r="G336">
        <v>5</v>
      </c>
    </row>
    <row r="337" spans="1:7" x14ac:dyDescent="0.3">
      <c r="A337">
        <v>1336</v>
      </c>
      <c r="B337" s="1">
        <v>45627</v>
      </c>
      <c r="C337" t="s">
        <v>9</v>
      </c>
      <c r="D337" t="s">
        <v>12</v>
      </c>
      <c r="E337">
        <v>62384</v>
      </c>
      <c r="F337">
        <v>14131</v>
      </c>
      <c r="G337">
        <v>6</v>
      </c>
    </row>
    <row r="338" spans="1:7" x14ac:dyDescent="0.3">
      <c r="A338">
        <v>1337</v>
      </c>
      <c r="B338" s="1">
        <v>45628</v>
      </c>
      <c r="C338" t="s">
        <v>10</v>
      </c>
      <c r="D338" t="s">
        <v>8</v>
      </c>
      <c r="E338">
        <v>36653</v>
      </c>
      <c r="F338">
        <v>13125</v>
      </c>
      <c r="G338">
        <v>4</v>
      </c>
    </row>
    <row r="339" spans="1:7" x14ac:dyDescent="0.3">
      <c r="A339">
        <v>1338</v>
      </c>
      <c r="B339" s="1">
        <v>45629</v>
      </c>
      <c r="C339" t="s">
        <v>7</v>
      </c>
      <c r="D339" t="s">
        <v>13</v>
      </c>
      <c r="E339">
        <v>31657</v>
      </c>
      <c r="F339">
        <v>1889</v>
      </c>
      <c r="G339">
        <v>2</v>
      </c>
    </row>
    <row r="340" spans="1:7" x14ac:dyDescent="0.3">
      <c r="A340">
        <v>1339</v>
      </c>
      <c r="B340" s="1">
        <v>45630</v>
      </c>
      <c r="C340" t="s">
        <v>9</v>
      </c>
      <c r="D340" t="s">
        <v>12</v>
      </c>
      <c r="E340">
        <v>44952</v>
      </c>
      <c r="F340">
        <v>12258</v>
      </c>
      <c r="G340">
        <v>4</v>
      </c>
    </row>
    <row r="341" spans="1:7" x14ac:dyDescent="0.3">
      <c r="A341">
        <v>1340</v>
      </c>
      <c r="B341" s="1">
        <v>45631</v>
      </c>
      <c r="C341" t="s">
        <v>9</v>
      </c>
      <c r="D341" t="s">
        <v>8</v>
      </c>
      <c r="E341">
        <v>27180</v>
      </c>
      <c r="F341">
        <v>13394</v>
      </c>
      <c r="G341">
        <v>1</v>
      </c>
    </row>
    <row r="342" spans="1:7" x14ac:dyDescent="0.3">
      <c r="A342">
        <v>1341</v>
      </c>
      <c r="B342" s="1">
        <v>45632</v>
      </c>
      <c r="C342" t="s">
        <v>7</v>
      </c>
      <c r="D342" t="s">
        <v>11</v>
      </c>
      <c r="E342">
        <v>6622</v>
      </c>
      <c r="F342">
        <v>8857</v>
      </c>
      <c r="G342">
        <v>7</v>
      </c>
    </row>
    <row r="343" spans="1:7" x14ac:dyDescent="0.3">
      <c r="A343">
        <v>1342</v>
      </c>
      <c r="B343" s="1">
        <v>45633</v>
      </c>
      <c r="C343" t="s">
        <v>9</v>
      </c>
      <c r="D343" t="s">
        <v>13</v>
      </c>
      <c r="E343">
        <v>53756</v>
      </c>
      <c r="F343">
        <v>10259</v>
      </c>
      <c r="G343">
        <v>2</v>
      </c>
    </row>
    <row r="344" spans="1:7" x14ac:dyDescent="0.3">
      <c r="A344">
        <v>1343</v>
      </c>
      <c r="B344" s="1">
        <v>45634</v>
      </c>
      <c r="C344" t="s">
        <v>7</v>
      </c>
      <c r="D344" t="s">
        <v>13</v>
      </c>
      <c r="E344">
        <v>45809</v>
      </c>
      <c r="F344">
        <v>6654</v>
      </c>
      <c r="G344">
        <v>2</v>
      </c>
    </row>
    <row r="345" spans="1:7" x14ac:dyDescent="0.3">
      <c r="A345">
        <v>1344</v>
      </c>
      <c r="B345" s="1">
        <v>45635</v>
      </c>
      <c r="C345" t="s">
        <v>14</v>
      </c>
      <c r="D345" t="s">
        <v>13</v>
      </c>
      <c r="E345">
        <v>21725</v>
      </c>
      <c r="F345">
        <v>5920</v>
      </c>
      <c r="G345">
        <v>9</v>
      </c>
    </row>
    <row r="346" spans="1:7" x14ac:dyDescent="0.3">
      <c r="A346">
        <v>1345</v>
      </c>
      <c r="B346" s="1">
        <v>45636</v>
      </c>
      <c r="C346" t="s">
        <v>7</v>
      </c>
      <c r="D346" t="s">
        <v>12</v>
      </c>
      <c r="E346">
        <v>66396</v>
      </c>
      <c r="F346">
        <v>9420</v>
      </c>
      <c r="G346">
        <v>5</v>
      </c>
    </row>
    <row r="347" spans="1:7" x14ac:dyDescent="0.3">
      <c r="A347">
        <v>1346</v>
      </c>
      <c r="B347" s="1">
        <v>45637</v>
      </c>
      <c r="C347" t="s">
        <v>7</v>
      </c>
      <c r="D347" t="s">
        <v>8</v>
      </c>
      <c r="E347">
        <v>56226</v>
      </c>
      <c r="F347">
        <v>2543</v>
      </c>
      <c r="G347">
        <v>2</v>
      </c>
    </row>
    <row r="348" spans="1:7" x14ac:dyDescent="0.3">
      <c r="A348">
        <v>1347</v>
      </c>
      <c r="B348" s="1">
        <v>45638</v>
      </c>
      <c r="C348" t="s">
        <v>7</v>
      </c>
      <c r="D348" t="s">
        <v>8</v>
      </c>
      <c r="E348">
        <v>34402</v>
      </c>
      <c r="F348">
        <v>4697</v>
      </c>
      <c r="G348">
        <v>9</v>
      </c>
    </row>
    <row r="349" spans="1:7" x14ac:dyDescent="0.3">
      <c r="A349">
        <v>1348</v>
      </c>
      <c r="B349" s="1">
        <v>45639</v>
      </c>
      <c r="C349" t="s">
        <v>9</v>
      </c>
      <c r="D349" t="s">
        <v>11</v>
      </c>
      <c r="E349">
        <v>9263</v>
      </c>
      <c r="F349">
        <v>3996</v>
      </c>
      <c r="G349">
        <v>9</v>
      </c>
    </row>
    <row r="350" spans="1:7" x14ac:dyDescent="0.3">
      <c r="A350">
        <v>1349</v>
      </c>
      <c r="B350" s="1">
        <v>45640</v>
      </c>
      <c r="C350" t="s">
        <v>9</v>
      </c>
      <c r="D350" t="s">
        <v>11</v>
      </c>
      <c r="E350">
        <v>51828</v>
      </c>
      <c r="F350">
        <v>14203</v>
      </c>
      <c r="G350">
        <v>1</v>
      </c>
    </row>
    <row r="351" spans="1:7" x14ac:dyDescent="0.3">
      <c r="A351">
        <v>1350</v>
      </c>
      <c r="B351" s="1">
        <v>45641</v>
      </c>
      <c r="C351" t="s">
        <v>7</v>
      </c>
      <c r="D351" t="s">
        <v>13</v>
      </c>
      <c r="E351">
        <v>52924</v>
      </c>
      <c r="F351">
        <v>1278</v>
      </c>
      <c r="G351">
        <v>3</v>
      </c>
    </row>
    <row r="352" spans="1:7" x14ac:dyDescent="0.3">
      <c r="A352">
        <v>1351</v>
      </c>
      <c r="B352" s="1">
        <v>45642</v>
      </c>
      <c r="C352" t="s">
        <v>9</v>
      </c>
      <c r="D352" t="s">
        <v>11</v>
      </c>
      <c r="E352">
        <v>79182</v>
      </c>
      <c r="F352">
        <v>713</v>
      </c>
      <c r="G352">
        <v>4</v>
      </c>
    </row>
    <row r="353" spans="1:7" x14ac:dyDescent="0.3">
      <c r="A353">
        <v>1352</v>
      </c>
      <c r="B353" s="1">
        <v>45643</v>
      </c>
      <c r="C353" t="s">
        <v>10</v>
      </c>
      <c r="D353" t="s">
        <v>12</v>
      </c>
      <c r="E353">
        <v>64052</v>
      </c>
      <c r="F353">
        <v>4262</v>
      </c>
      <c r="G353">
        <v>7</v>
      </c>
    </row>
    <row r="354" spans="1:7" x14ac:dyDescent="0.3">
      <c r="A354">
        <v>1353</v>
      </c>
      <c r="B354" s="1">
        <v>45644</v>
      </c>
      <c r="C354" t="s">
        <v>10</v>
      </c>
      <c r="D354" t="s">
        <v>8</v>
      </c>
      <c r="E354">
        <v>16664</v>
      </c>
      <c r="F354">
        <v>13899</v>
      </c>
      <c r="G354">
        <v>4</v>
      </c>
    </row>
    <row r="355" spans="1:7" x14ac:dyDescent="0.3">
      <c r="A355">
        <v>1354</v>
      </c>
      <c r="B355" s="1">
        <v>45645</v>
      </c>
      <c r="C355" t="s">
        <v>9</v>
      </c>
      <c r="D355" t="s">
        <v>13</v>
      </c>
      <c r="E355">
        <v>40737</v>
      </c>
      <c r="F355">
        <v>10268</v>
      </c>
      <c r="G355">
        <v>2</v>
      </c>
    </row>
    <row r="356" spans="1:7" x14ac:dyDescent="0.3">
      <c r="A356">
        <v>1355</v>
      </c>
      <c r="B356" s="1">
        <v>45646</v>
      </c>
      <c r="C356" t="s">
        <v>9</v>
      </c>
      <c r="D356" t="s">
        <v>11</v>
      </c>
      <c r="E356">
        <v>34373</v>
      </c>
      <c r="F356">
        <v>11140</v>
      </c>
      <c r="G356">
        <v>7</v>
      </c>
    </row>
    <row r="357" spans="1:7" x14ac:dyDescent="0.3">
      <c r="A357">
        <v>1356</v>
      </c>
      <c r="B357" s="1">
        <v>45647</v>
      </c>
      <c r="C357" t="s">
        <v>7</v>
      </c>
      <c r="D357" t="s">
        <v>12</v>
      </c>
      <c r="E357">
        <v>41397</v>
      </c>
      <c r="F357">
        <v>7231</v>
      </c>
      <c r="G357">
        <v>6</v>
      </c>
    </row>
    <row r="358" spans="1:7" x14ac:dyDescent="0.3">
      <c r="A358">
        <v>1357</v>
      </c>
      <c r="B358" s="1">
        <v>45648</v>
      </c>
      <c r="C358" t="s">
        <v>14</v>
      </c>
      <c r="D358" t="s">
        <v>12</v>
      </c>
      <c r="E358">
        <v>43709</v>
      </c>
      <c r="F358">
        <v>11628</v>
      </c>
      <c r="G358">
        <v>3</v>
      </c>
    </row>
    <row r="359" spans="1:7" x14ac:dyDescent="0.3">
      <c r="A359">
        <v>1358</v>
      </c>
      <c r="B359" s="1">
        <v>45649</v>
      </c>
      <c r="C359" t="s">
        <v>9</v>
      </c>
      <c r="D359" t="s">
        <v>11</v>
      </c>
      <c r="E359">
        <v>66120</v>
      </c>
      <c r="F359">
        <v>3617</v>
      </c>
      <c r="G359">
        <v>6</v>
      </c>
    </row>
    <row r="360" spans="1:7" x14ac:dyDescent="0.3">
      <c r="A360">
        <v>1359</v>
      </c>
      <c r="B360" s="1">
        <v>45650</v>
      </c>
      <c r="C360" t="s">
        <v>10</v>
      </c>
      <c r="D360" t="s">
        <v>8</v>
      </c>
      <c r="E360">
        <v>24250</v>
      </c>
      <c r="F360">
        <v>6291</v>
      </c>
      <c r="G360">
        <v>6</v>
      </c>
    </row>
    <row r="361" spans="1:7" x14ac:dyDescent="0.3">
      <c r="A361">
        <v>1360</v>
      </c>
      <c r="B361" s="1">
        <v>45651</v>
      </c>
      <c r="C361" t="s">
        <v>7</v>
      </c>
      <c r="D361" t="s">
        <v>11</v>
      </c>
      <c r="E361">
        <v>26172</v>
      </c>
      <c r="F361">
        <v>9283</v>
      </c>
      <c r="G361">
        <v>5</v>
      </c>
    </row>
    <row r="362" spans="1:7" x14ac:dyDescent="0.3">
      <c r="A362">
        <v>1361</v>
      </c>
      <c r="B362" s="1">
        <v>45652</v>
      </c>
      <c r="C362" t="s">
        <v>9</v>
      </c>
      <c r="D362" t="s">
        <v>13</v>
      </c>
      <c r="E362">
        <v>16555</v>
      </c>
      <c r="F362">
        <v>14121</v>
      </c>
      <c r="G362">
        <v>4</v>
      </c>
    </row>
    <row r="363" spans="1:7" x14ac:dyDescent="0.3">
      <c r="A363">
        <v>1362</v>
      </c>
      <c r="B363" s="1">
        <v>45653</v>
      </c>
      <c r="C363" t="s">
        <v>10</v>
      </c>
      <c r="D363" t="s">
        <v>11</v>
      </c>
      <c r="E363">
        <v>58276</v>
      </c>
      <c r="F363">
        <v>13897</v>
      </c>
      <c r="G363">
        <v>1</v>
      </c>
    </row>
    <row r="364" spans="1:7" x14ac:dyDescent="0.3">
      <c r="A364">
        <v>1363</v>
      </c>
      <c r="B364" s="1">
        <v>45654</v>
      </c>
      <c r="C364" t="s">
        <v>10</v>
      </c>
      <c r="D364" t="s">
        <v>12</v>
      </c>
      <c r="E364">
        <v>62492</v>
      </c>
      <c r="F364">
        <v>14927</v>
      </c>
      <c r="G364">
        <v>6</v>
      </c>
    </row>
    <row r="365" spans="1:7" x14ac:dyDescent="0.3">
      <c r="A365">
        <v>1364</v>
      </c>
      <c r="B365" s="1">
        <v>45655</v>
      </c>
      <c r="C365" t="s">
        <v>14</v>
      </c>
      <c r="D365" t="s">
        <v>11</v>
      </c>
      <c r="E365">
        <v>58002</v>
      </c>
      <c r="F365">
        <v>3220</v>
      </c>
      <c r="G365">
        <v>2</v>
      </c>
    </row>
    <row r="366" spans="1:7" x14ac:dyDescent="0.3">
      <c r="A366">
        <v>1365</v>
      </c>
      <c r="B366" s="1">
        <v>45656</v>
      </c>
      <c r="C366" t="s">
        <v>7</v>
      </c>
      <c r="D366" t="s">
        <v>8</v>
      </c>
      <c r="E366">
        <v>77355</v>
      </c>
      <c r="F366">
        <v>9405</v>
      </c>
      <c r="G366">
        <v>3</v>
      </c>
    </row>
    <row r="367" spans="1:7" x14ac:dyDescent="0.3">
      <c r="A367">
        <v>1366</v>
      </c>
      <c r="B367" s="1">
        <v>45657</v>
      </c>
      <c r="C367" t="s">
        <v>7</v>
      </c>
      <c r="D367" t="s">
        <v>15</v>
      </c>
      <c r="E367">
        <v>29762</v>
      </c>
      <c r="F367">
        <v>9627</v>
      </c>
      <c r="G367">
        <v>8</v>
      </c>
    </row>
    <row r="368" spans="1:7" x14ac:dyDescent="0.3">
      <c r="A368">
        <v>1367</v>
      </c>
      <c r="B368" s="1">
        <v>45658</v>
      </c>
      <c r="C368" t="s">
        <v>14</v>
      </c>
      <c r="D368" t="s">
        <v>11</v>
      </c>
      <c r="E368">
        <v>16046</v>
      </c>
      <c r="F368">
        <v>6547</v>
      </c>
      <c r="G368">
        <v>6</v>
      </c>
    </row>
    <row r="369" spans="1:7" x14ac:dyDescent="0.3">
      <c r="A369">
        <v>1368</v>
      </c>
      <c r="B369" s="1">
        <v>45659</v>
      </c>
      <c r="C369" t="s">
        <v>14</v>
      </c>
      <c r="D369" t="s">
        <v>8</v>
      </c>
      <c r="E369">
        <v>33769</v>
      </c>
      <c r="F369">
        <v>13029</v>
      </c>
      <c r="G369">
        <v>3</v>
      </c>
    </row>
    <row r="370" spans="1:7" x14ac:dyDescent="0.3">
      <c r="A370">
        <v>1369</v>
      </c>
      <c r="B370" s="1">
        <v>45660</v>
      </c>
      <c r="C370" t="s">
        <v>7</v>
      </c>
      <c r="D370" t="s">
        <v>8</v>
      </c>
      <c r="E370">
        <v>58302</v>
      </c>
      <c r="F370">
        <v>14831</v>
      </c>
      <c r="G370">
        <v>7</v>
      </c>
    </row>
    <row r="371" spans="1:7" x14ac:dyDescent="0.3">
      <c r="A371">
        <v>1370</v>
      </c>
      <c r="B371" s="1">
        <v>45661</v>
      </c>
      <c r="C371" t="s">
        <v>7</v>
      </c>
      <c r="D371" t="s">
        <v>12</v>
      </c>
      <c r="E371">
        <v>28150</v>
      </c>
      <c r="F371">
        <v>8532</v>
      </c>
      <c r="G371">
        <v>4</v>
      </c>
    </row>
    <row r="372" spans="1:7" x14ac:dyDescent="0.3">
      <c r="A372">
        <v>1371</v>
      </c>
      <c r="B372" s="1">
        <v>45662</v>
      </c>
      <c r="C372" t="s">
        <v>9</v>
      </c>
      <c r="D372" t="s">
        <v>8</v>
      </c>
      <c r="E372">
        <v>73247</v>
      </c>
      <c r="F372">
        <v>501</v>
      </c>
      <c r="G372">
        <v>9</v>
      </c>
    </row>
    <row r="373" spans="1:7" x14ac:dyDescent="0.3">
      <c r="A373">
        <v>1372</v>
      </c>
      <c r="B373" s="1">
        <v>45663</v>
      </c>
      <c r="C373" t="s">
        <v>9</v>
      </c>
      <c r="D373" t="s">
        <v>8</v>
      </c>
      <c r="E373">
        <v>9853</v>
      </c>
      <c r="F373">
        <v>6868</v>
      </c>
      <c r="G373">
        <v>5</v>
      </c>
    </row>
    <row r="374" spans="1:7" x14ac:dyDescent="0.3">
      <c r="A374">
        <v>1373</v>
      </c>
      <c r="B374" s="1">
        <v>45664</v>
      </c>
      <c r="C374" t="s">
        <v>14</v>
      </c>
      <c r="D374" t="s">
        <v>8</v>
      </c>
      <c r="E374">
        <v>26792</v>
      </c>
      <c r="F374">
        <v>11540</v>
      </c>
      <c r="G374">
        <v>3</v>
      </c>
    </row>
    <row r="375" spans="1:7" x14ac:dyDescent="0.3">
      <c r="A375">
        <v>1374</v>
      </c>
      <c r="B375" s="1">
        <v>45665</v>
      </c>
      <c r="C375" t="s">
        <v>9</v>
      </c>
      <c r="D375" t="s">
        <v>8</v>
      </c>
      <c r="E375">
        <v>64129</v>
      </c>
      <c r="F375">
        <v>14556</v>
      </c>
      <c r="G375">
        <v>2</v>
      </c>
    </row>
    <row r="376" spans="1:7" x14ac:dyDescent="0.3">
      <c r="A376">
        <v>1375</v>
      </c>
      <c r="B376" s="1">
        <v>45666</v>
      </c>
      <c r="C376" t="s">
        <v>10</v>
      </c>
      <c r="D376" t="s">
        <v>13</v>
      </c>
      <c r="E376">
        <v>79478</v>
      </c>
      <c r="F376">
        <v>12736</v>
      </c>
      <c r="G376">
        <v>2</v>
      </c>
    </row>
    <row r="377" spans="1:7" x14ac:dyDescent="0.3">
      <c r="A377">
        <v>1376</v>
      </c>
      <c r="B377" s="1">
        <v>45667</v>
      </c>
      <c r="C377" t="s">
        <v>9</v>
      </c>
      <c r="D377" t="s">
        <v>13</v>
      </c>
      <c r="E377">
        <v>72298</v>
      </c>
      <c r="F377">
        <v>2449</v>
      </c>
      <c r="G377">
        <v>3</v>
      </c>
    </row>
    <row r="378" spans="1:7" x14ac:dyDescent="0.3">
      <c r="A378">
        <v>1377</v>
      </c>
      <c r="B378" s="1">
        <v>45668</v>
      </c>
      <c r="C378" t="s">
        <v>9</v>
      </c>
      <c r="D378" t="s">
        <v>12</v>
      </c>
      <c r="E378">
        <v>36987</v>
      </c>
      <c r="F378">
        <v>7232</v>
      </c>
      <c r="G378">
        <v>2</v>
      </c>
    </row>
    <row r="379" spans="1:7" x14ac:dyDescent="0.3">
      <c r="A379">
        <v>1378</v>
      </c>
      <c r="B379" s="1">
        <v>45669</v>
      </c>
      <c r="C379" t="s">
        <v>10</v>
      </c>
      <c r="D379" t="s">
        <v>11</v>
      </c>
      <c r="E379">
        <v>20850</v>
      </c>
      <c r="F379">
        <v>14951</v>
      </c>
      <c r="G379">
        <v>4</v>
      </c>
    </row>
    <row r="380" spans="1:7" x14ac:dyDescent="0.3">
      <c r="A380">
        <v>1379</v>
      </c>
      <c r="B380" s="1">
        <v>45670</v>
      </c>
      <c r="C380" t="s">
        <v>14</v>
      </c>
      <c r="D380" t="s">
        <v>8</v>
      </c>
      <c r="E380">
        <v>17112</v>
      </c>
      <c r="F380">
        <v>8333</v>
      </c>
      <c r="G380">
        <v>2</v>
      </c>
    </row>
    <row r="381" spans="1:7" x14ac:dyDescent="0.3">
      <c r="A381">
        <v>1380</v>
      </c>
      <c r="B381" s="1">
        <v>45671</v>
      </c>
      <c r="C381" t="s">
        <v>10</v>
      </c>
      <c r="D381" t="s">
        <v>11</v>
      </c>
      <c r="E381">
        <v>29058</v>
      </c>
      <c r="F381">
        <v>1417</v>
      </c>
      <c r="G381">
        <v>9</v>
      </c>
    </row>
    <row r="382" spans="1:7" x14ac:dyDescent="0.3">
      <c r="A382">
        <v>1381</v>
      </c>
      <c r="B382" s="1">
        <v>45672</v>
      </c>
      <c r="C382" t="s">
        <v>9</v>
      </c>
      <c r="D382" t="s">
        <v>11</v>
      </c>
      <c r="E382">
        <v>50420</v>
      </c>
      <c r="F382">
        <v>3674</v>
      </c>
      <c r="G382">
        <v>2</v>
      </c>
    </row>
    <row r="383" spans="1:7" x14ac:dyDescent="0.3">
      <c r="A383">
        <v>1382</v>
      </c>
      <c r="B383" s="1">
        <v>45673</v>
      </c>
      <c r="C383" t="s">
        <v>14</v>
      </c>
      <c r="D383" t="s">
        <v>12</v>
      </c>
      <c r="E383">
        <v>43890</v>
      </c>
      <c r="F383">
        <v>10933</v>
      </c>
      <c r="G383">
        <v>9</v>
      </c>
    </row>
    <row r="384" spans="1:7" x14ac:dyDescent="0.3">
      <c r="A384">
        <v>1383</v>
      </c>
      <c r="B384" s="1">
        <v>45674</v>
      </c>
      <c r="C384" t="s">
        <v>9</v>
      </c>
      <c r="D384" t="s">
        <v>8</v>
      </c>
      <c r="E384">
        <v>71017</v>
      </c>
      <c r="F384">
        <v>7514</v>
      </c>
      <c r="G384">
        <v>6</v>
      </c>
    </row>
    <row r="385" spans="1:7" x14ac:dyDescent="0.3">
      <c r="A385">
        <v>1384</v>
      </c>
      <c r="B385" s="1">
        <v>45675</v>
      </c>
      <c r="C385" t="s">
        <v>10</v>
      </c>
      <c r="D385" t="s">
        <v>8</v>
      </c>
      <c r="E385">
        <v>52304</v>
      </c>
      <c r="F385">
        <v>589</v>
      </c>
      <c r="G385">
        <v>1</v>
      </c>
    </row>
    <row r="386" spans="1:7" x14ac:dyDescent="0.3">
      <c r="A386">
        <v>1385</v>
      </c>
      <c r="B386" s="1">
        <v>45676</v>
      </c>
      <c r="C386" t="s">
        <v>10</v>
      </c>
      <c r="D386" t="s">
        <v>15</v>
      </c>
      <c r="E386">
        <v>37921</v>
      </c>
      <c r="F386">
        <v>2209</v>
      </c>
      <c r="G386">
        <v>4</v>
      </c>
    </row>
    <row r="387" spans="1:7" x14ac:dyDescent="0.3">
      <c r="A387">
        <v>1386</v>
      </c>
      <c r="B387" s="1">
        <v>45677</v>
      </c>
      <c r="C387" t="s">
        <v>9</v>
      </c>
      <c r="D387" t="s">
        <v>11</v>
      </c>
      <c r="E387">
        <v>6524</v>
      </c>
      <c r="F387">
        <v>10861</v>
      </c>
      <c r="G387">
        <v>1</v>
      </c>
    </row>
    <row r="388" spans="1:7" x14ac:dyDescent="0.3">
      <c r="A388">
        <v>1387</v>
      </c>
      <c r="B388" s="1">
        <v>45678</v>
      </c>
      <c r="C388" t="s">
        <v>7</v>
      </c>
      <c r="D388" t="s">
        <v>11</v>
      </c>
      <c r="E388">
        <v>20048</v>
      </c>
      <c r="F388">
        <v>12930</v>
      </c>
      <c r="G388">
        <v>6</v>
      </c>
    </row>
    <row r="389" spans="1:7" x14ac:dyDescent="0.3">
      <c r="A389">
        <v>1388</v>
      </c>
      <c r="B389" s="1">
        <v>45679</v>
      </c>
      <c r="C389" t="s">
        <v>7</v>
      </c>
      <c r="D389" t="s">
        <v>13</v>
      </c>
      <c r="E389">
        <v>40111</v>
      </c>
      <c r="F389">
        <v>3541</v>
      </c>
      <c r="G389">
        <v>4</v>
      </c>
    </row>
    <row r="390" spans="1:7" x14ac:dyDescent="0.3">
      <c r="A390">
        <v>1389</v>
      </c>
      <c r="B390" s="1">
        <v>45680</v>
      </c>
      <c r="C390" t="s">
        <v>10</v>
      </c>
      <c r="D390" t="s">
        <v>15</v>
      </c>
      <c r="E390">
        <v>42904</v>
      </c>
      <c r="F390">
        <v>605</v>
      </c>
      <c r="G390">
        <v>3</v>
      </c>
    </row>
    <row r="391" spans="1:7" x14ac:dyDescent="0.3">
      <c r="A391">
        <v>1390</v>
      </c>
      <c r="B391" s="1">
        <v>45681</v>
      </c>
      <c r="C391" t="s">
        <v>10</v>
      </c>
      <c r="D391" t="s">
        <v>13</v>
      </c>
      <c r="E391">
        <v>59912</v>
      </c>
      <c r="F391">
        <v>9578</v>
      </c>
      <c r="G391">
        <v>3</v>
      </c>
    </row>
    <row r="392" spans="1:7" x14ac:dyDescent="0.3">
      <c r="A392">
        <v>1391</v>
      </c>
      <c r="B392" s="1">
        <v>45682</v>
      </c>
      <c r="C392" t="s">
        <v>7</v>
      </c>
      <c r="D392" t="s">
        <v>13</v>
      </c>
      <c r="E392">
        <v>39008</v>
      </c>
      <c r="F392">
        <v>9119</v>
      </c>
      <c r="G392">
        <v>9</v>
      </c>
    </row>
    <row r="393" spans="1:7" x14ac:dyDescent="0.3">
      <c r="A393">
        <v>1392</v>
      </c>
      <c r="B393" s="1">
        <v>45683</v>
      </c>
      <c r="C393" t="s">
        <v>7</v>
      </c>
      <c r="D393" t="s">
        <v>13</v>
      </c>
      <c r="E393">
        <v>5060</v>
      </c>
      <c r="F393">
        <v>14116</v>
      </c>
      <c r="G393">
        <v>6</v>
      </c>
    </row>
    <row r="394" spans="1:7" x14ac:dyDescent="0.3">
      <c r="A394">
        <v>1393</v>
      </c>
      <c r="B394" s="1">
        <v>45684</v>
      </c>
      <c r="C394" t="s">
        <v>9</v>
      </c>
      <c r="D394" t="s">
        <v>12</v>
      </c>
      <c r="E394">
        <v>79666</v>
      </c>
      <c r="F394">
        <v>2395</v>
      </c>
      <c r="G394">
        <v>9</v>
      </c>
    </row>
    <row r="395" spans="1:7" x14ac:dyDescent="0.3">
      <c r="A395">
        <v>1394</v>
      </c>
      <c r="B395" s="1">
        <v>45685</v>
      </c>
      <c r="C395" t="s">
        <v>9</v>
      </c>
      <c r="D395" t="s">
        <v>12</v>
      </c>
      <c r="E395">
        <v>60337</v>
      </c>
      <c r="F395">
        <v>6590</v>
      </c>
      <c r="G395">
        <v>5</v>
      </c>
    </row>
    <row r="396" spans="1:7" x14ac:dyDescent="0.3">
      <c r="A396">
        <v>1395</v>
      </c>
      <c r="B396" s="1">
        <v>45686</v>
      </c>
      <c r="C396" t="s">
        <v>7</v>
      </c>
      <c r="D396" t="s">
        <v>13</v>
      </c>
      <c r="E396">
        <v>18350</v>
      </c>
      <c r="F396">
        <v>9008</v>
      </c>
      <c r="G396">
        <v>2</v>
      </c>
    </row>
    <row r="397" spans="1:7" x14ac:dyDescent="0.3">
      <c r="A397">
        <v>1396</v>
      </c>
      <c r="B397" s="1">
        <v>45687</v>
      </c>
      <c r="C397" t="s">
        <v>9</v>
      </c>
      <c r="D397" t="s">
        <v>15</v>
      </c>
      <c r="E397">
        <v>29354</v>
      </c>
      <c r="F397">
        <v>6582</v>
      </c>
      <c r="G397">
        <v>8</v>
      </c>
    </row>
    <row r="398" spans="1:7" x14ac:dyDescent="0.3">
      <c r="A398">
        <v>1397</v>
      </c>
      <c r="B398" s="1">
        <v>45688</v>
      </c>
      <c r="C398" t="s">
        <v>9</v>
      </c>
      <c r="D398" t="s">
        <v>11</v>
      </c>
      <c r="E398">
        <v>50186</v>
      </c>
      <c r="F398">
        <v>1134</v>
      </c>
      <c r="G398">
        <v>5</v>
      </c>
    </row>
    <row r="399" spans="1:7" x14ac:dyDescent="0.3">
      <c r="A399">
        <v>1398</v>
      </c>
      <c r="B399" s="1">
        <v>45689</v>
      </c>
      <c r="C399" t="s">
        <v>14</v>
      </c>
      <c r="D399" t="s">
        <v>15</v>
      </c>
      <c r="E399">
        <v>33145</v>
      </c>
      <c r="F399">
        <v>2425</v>
      </c>
      <c r="G399">
        <v>2</v>
      </c>
    </row>
    <row r="400" spans="1:7" x14ac:dyDescent="0.3">
      <c r="A400">
        <v>1399</v>
      </c>
      <c r="B400" s="1">
        <v>45690</v>
      </c>
      <c r="C400" t="s">
        <v>9</v>
      </c>
      <c r="D400" t="s">
        <v>8</v>
      </c>
      <c r="E400">
        <v>39020</v>
      </c>
      <c r="F400">
        <v>2556</v>
      </c>
      <c r="G400">
        <v>4</v>
      </c>
    </row>
    <row r="401" spans="1:7" x14ac:dyDescent="0.3">
      <c r="A401">
        <v>1400</v>
      </c>
      <c r="B401" s="1">
        <v>45691</v>
      </c>
      <c r="C401" t="s">
        <v>10</v>
      </c>
      <c r="D401" t="s">
        <v>12</v>
      </c>
      <c r="E401">
        <v>25581</v>
      </c>
      <c r="F401">
        <v>7417</v>
      </c>
      <c r="G401">
        <v>9</v>
      </c>
    </row>
    <row r="402" spans="1:7" x14ac:dyDescent="0.3">
      <c r="A402">
        <v>1401</v>
      </c>
      <c r="B402" s="1">
        <v>45692</v>
      </c>
      <c r="C402" t="s">
        <v>9</v>
      </c>
      <c r="D402" t="s">
        <v>11</v>
      </c>
      <c r="E402">
        <v>28051</v>
      </c>
      <c r="F402">
        <v>3644</v>
      </c>
      <c r="G402">
        <v>4</v>
      </c>
    </row>
    <row r="403" spans="1:7" x14ac:dyDescent="0.3">
      <c r="A403">
        <v>1402</v>
      </c>
      <c r="B403" s="1">
        <v>45693</v>
      </c>
      <c r="C403" t="s">
        <v>9</v>
      </c>
      <c r="D403" t="s">
        <v>11</v>
      </c>
      <c r="E403">
        <v>56474</v>
      </c>
      <c r="F403">
        <v>10962</v>
      </c>
      <c r="G403">
        <v>4</v>
      </c>
    </row>
    <row r="404" spans="1:7" x14ac:dyDescent="0.3">
      <c r="A404">
        <v>1403</v>
      </c>
      <c r="B404" s="1">
        <v>45694</v>
      </c>
      <c r="C404" t="s">
        <v>7</v>
      </c>
      <c r="D404" t="s">
        <v>8</v>
      </c>
      <c r="E404">
        <v>74626</v>
      </c>
      <c r="F404">
        <v>10131</v>
      </c>
      <c r="G404">
        <v>2</v>
      </c>
    </row>
    <row r="405" spans="1:7" x14ac:dyDescent="0.3">
      <c r="A405">
        <v>1404</v>
      </c>
      <c r="B405" s="1">
        <v>45695</v>
      </c>
      <c r="C405" t="s">
        <v>10</v>
      </c>
      <c r="D405" t="s">
        <v>8</v>
      </c>
      <c r="E405">
        <v>11960</v>
      </c>
      <c r="F405">
        <v>1052</v>
      </c>
      <c r="G405">
        <v>6</v>
      </c>
    </row>
    <row r="406" spans="1:7" x14ac:dyDescent="0.3">
      <c r="A406">
        <v>1405</v>
      </c>
      <c r="B406" s="1">
        <v>45696</v>
      </c>
      <c r="C406" t="s">
        <v>9</v>
      </c>
      <c r="D406" t="s">
        <v>13</v>
      </c>
      <c r="E406">
        <v>40772</v>
      </c>
      <c r="F406">
        <v>9407</v>
      </c>
      <c r="G406">
        <v>2</v>
      </c>
    </row>
    <row r="407" spans="1:7" x14ac:dyDescent="0.3">
      <c r="A407">
        <v>1406</v>
      </c>
      <c r="B407" s="1">
        <v>45697</v>
      </c>
      <c r="C407" t="s">
        <v>9</v>
      </c>
      <c r="D407" t="s">
        <v>12</v>
      </c>
      <c r="E407">
        <v>26520</v>
      </c>
      <c r="F407">
        <v>5883</v>
      </c>
      <c r="G407">
        <v>7</v>
      </c>
    </row>
    <row r="408" spans="1:7" x14ac:dyDescent="0.3">
      <c r="A408">
        <v>1407</v>
      </c>
      <c r="B408" s="1">
        <v>45698</v>
      </c>
      <c r="C408" t="s">
        <v>14</v>
      </c>
      <c r="D408" t="s">
        <v>12</v>
      </c>
      <c r="E408">
        <v>54481</v>
      </c>
      <c r="F408">
        <v>4411</v>
      </c>
      <c r="G408">
        <v>3</v>
      </c>
    </row>
    <row r="409" spans="1:7" x14ac:dyDescent="0.3">
      <c r="A409">
        <v>1408</v>
      </c>
      <c r="B409" s="1">
        <v>45699</v>
      </c>
      <c r="C409" t="s">
        <v>9</v>
      </c>
      <c r="D409" t="s">
        <v>15</v>
      </c>
      <c r="E409">
        <v>41408</v>
      </c>
      <c r="F409">
        <v>10405</v>
      </c>
      <c r="G409">
        <v>3</v>
      </c>
    </row>
    <row r="410" spans="1:7" x14ac:dyDescent="0.3">
      <c r="A410">
        <v>1409</v>
      </c>
      <c r="B410" s="1">
        <v>45700</v>
      </c>
      <c r="C410" t="s">
        <v>9</v>
      </c>
      <c r="D410" t="s">
        <v>13</v>
      </c>
      <c r="E410">
        <v>62134</v>
      </c>
      <c r="F410">
        <v>14671</v>
      </c>
      <c r="G410">
        <v>5</v>
      </c>
    </row>
    <row r="411" spans="1:7" x14ac:dyDescent="0.3">
      <c r="A411">
        <v>1410</v>
      </c>
      <c r="B411" s="1">
        <v>45701</v>
      </c>
      <c r="C411" t="s">
        <v>14</v>
      </c>
      <c r="D411" t="s">
        <v>13</v>
      </c>
      <c r="E411">
        <v>25491</v>
      </c>
      <c r="F411">
        <v>3889</v>
      </c>
      <c r="G411">
        <v>3</v>
      </c>
    </row>
    <row r="412" spans="1:7" x14ac:dyDescent="0.3">
      <c r="A412">
        <v>1411</v>
      </c>
      <c r="B412" s="1">
        <v>45702</v>
      </c>
      <c r="C412" t="s">
        <v>7</v>
      </c>
      <c r="D412" t="s">
        <v>13</v>
      </c>
      <c r="E412">
        <v>6341</v>
      </c>
      <c r="F412">
        <v>9799</v>
      </c>
      <c r="G412">
        <v>2</v>
      </c>
    </row>
    <row r="413" spans="1:7" x14ac:dyDescent="0.3">
      <c r="A413">
        <v>1412</v>
      </c>
      <c r="B413" s="1">
        <v>45703</v>
      </c>
      <c r="C413" t="s">
        <v>9</v>
      </c>
      <c r="D413" t="s">
        <v>13</v>
      </c>
      <c r="E413">
        <v>49623</v>
      </c>
      <c r="F413">
        <v>14129</v>
      </c>
      <c r="G413">
        <v>9</v>
      </c>
    </row>
    <row r="414" spans="1:7" x14ac:dyDescent="0.3">
      <c r="A414">
        <v>1413</v>
      </c>
      <c r="B414" s="1">
        <v>45704</v>
      </c>
      <c r="C414" t="s">
        <v>14</v>
      </c>
      <c r="D414" t="s">
        <v>12</v>
      </c>
      <c r="E414">
        <v>5338</v>
      </c>
      <c r="F414">
        <v>12898</v>
      </c>
      <c r="G414">
        <v>2</v>
      </c>
    </row>
    <row r="415" spans="1:7" x14ac:dyDescent="0.3">
      <c r="A415">
        <v>1414</v>
      </c>
      <c r="B415" s="1">
        <v>45705</v>
      </c>
      <c r="C415" t="s">
        <v>10</v>
      </c>
      <c r="D415" t="s">
        <v>12</v>
      </c>
      <c r="E415">
        <v>76431</v>
      </c>
      <c r="F415">
        <v>8942</v>
      </c>
      <c r="G415">
        <v>2</v>
      </c>
    </row>
    <row r="416" spans="1:7" x14ac:dyDescent="0.3">
      <c r="A416">
        <v>1415</v>
      </c>
      <c r="B416" s="1">
        <v>45706</v>
      </c>
      <c r="C416" t="s">
        <v>7</v>
      </c>
      <c r="D416" t="s">
        <v>13</v>
      </c>
      <c r="E416">
        <v>17254</v>
      </c>
      <c r="F416">
        <v>2930</v>
      </c>
      <c r="G416">
        <v>8</v>
      </c>
    </row>
    <row r="417" spans="1:7" x14ac:dyDescent="0.3">
      <c r="A417">
        <v>1416</v>
      </c>
      <c r="B417" s="1">
        <v>45707</v>
      </c>
      <c r="C417" t="s">
        <v>10</v>
      </c>
      <c r="D417" t="s">
        <v>15</v>
      </c>
      <c r="E417">
        <v>56860</v>
      </c>
      <c r="F417">
        <v>10746</v>
      </c>
      <c r="G417">
        <v>9</v>
      </c>
    </row>
    <row r="418" spans="1:7" x14ac:dyDescent="0.3">
      <c r="A418">
        <v>1417</v>
      </c>
      <c r="B418" s="1">
        <v>45708</v>
      </c>
      <c r="C418" t="s">
        <v>10</v>
      </c>
      <c r="D418" t="s">
        <v>11</v>
      </c>
      <c r="E418">
        <v>16344</v>
      </c>
      <c r="F418">
        <v>958</v>
      </c>
      <c r="G418">
        <v>7</v>
      </c>
    </row>
    <row r="419" spans="1:7" x14ac:dyDescent="0.3">
      <c r="A419">
        <v>1418</v>
      </c>
      <c r="B419" s="1">
        <v>45709</v>
      </c>
      <c r="C419" t="s">
        <v>14</v>
      </c>
      <c r="D419" t="s">
        <v>11</v>
      </c>
      <c r="E419">
        <v>6750</v>
      </c>
      <c r="F419">
        <v>13895</v>
      </c>
      <c r="G419">
        <v>3</v>
      </c>
    </row>
    <row r="420" spans="1:7" x14ac:dyDescent="0.3">
      <c r="A420">
        <v>1419</v>
      </c>
      <c r="B420" s="1">
        <v>45710</v>
      </c>
      <c r="C420" t="s">
        <v>9</v>
      </c>
      <c r="D420" t="s">
        <v>15</v>
      </c>
      <c r="E420">
        <v>59756</v>
      </c>
      <c r="F420">
        <v>707</v>
      </c>
      <c r="G420">
        <v>9</v>
      </c>
    </row>
    <row r="421" spans="1:7" x14ac:dyDescent="0.3">
      <c r="A421">
        <v>1420</v>
      </c>
      <c r="B421" s="1">
        <v>45711</v>
      </c>
      <c r="C421" t="s">
        <v>14</v>
      </c>
      <c r="D421" t="s">
        <v>13</v>
      </c>
      <c r="E421">
        <v>72957</v>
      </c>
      <c r="F421">
        <v>1399</v>
      </c>
      <c r="G421">
        <v>3</v>
      </c>
    </row>
    <row r="422" spans="1:7" x14ac:dyDescent="0.3">
      <c r="A422">
        <v>1421</v>
      </c>
      <c r="B422" s="1">
        <v>45712</v>
      </c>
      <c r="C422" t="s">
        <v>14</v>
      </c>
      <c r="D422" t="s">
        <v>12</v>
      </c>
      <c r="E422">
        <v>63053</v>
      </c>
      <c r="F422">
        <v>12153</v>
      </c>
      <c r="G422">
        <v>5</v>
      </c>
    </row>
    <row r="423" spans="1:7" x14ac:dyDescent="0.3">
      <c r="A423">
        <v>1422</v>
      </c>
      <c r="B423" s="1">
        <v>45713</v>
      </c>
      <c r="C423" t="s">
        <v>14</v>
      </c>
      <c r="D423" t="s">
        <v>11</v>
      </c>
      <c r="E423">
        <v>75855</v>
      </c>
      <c r="F423">
        <v>12077</v>
      </c>
      <c r="G423">
        <v>9</v>
      </c>
    </row>
    <row r="424" spans="1:7" x14ac:dyDescent="0.3">
      <c r="A424">
        <v>1423</v>
      </c>
      <c r="B424" s="1">
        <v>45714</v>
      </c>
      <c r="C424" t="s">
        <v>14</v>
      </c>
      <c r="D424" t="s">
        <v>8</v>
      </c>
      <c r="E424">
        <v>20896</v>
      </c>
      <c r="F424">
        <v>521</v>
      </c>
      <c r="G424">
        <v>3</v>
      </c>
    </row>
    <row r="425" spans="1:7" x14ac:dyDescent="0.3">
      <c r="A425">
        <v>1424</v>
      </c>
      <c r="B425" s="1">
        <v>45715</v>
      </c>
      <c r="C425" t="s">
        <v>7</v>
      </c>
      <c r="D425" t="s">
        <v>8</v>
      </c>
      <c r="E425">
        <v>60761</v>
      </c>
      <c r="F425">
        <v>9101</v>
      </c>
      <c r="G425">
        <v>7</v>
      </c>
    </row>
    <row r="426" spans="1:7" x14ac:dyDescent="0.3">
      <c r="A426">
        <v>1425</v>
      </c>
      <c r="B426" s="1">
        <v>45716</v>
      </c>
      <c r="C426" t="s">
        <v>9</v>
      </c>
      <c r="D426" t="s">
        <v>15</v>
      </c>
      <c r="E426">
        <v>67552</v>
      </c>
      <c r="F426">
        <v>1394</v>
      </c>
      <c r="G426">
        <v>1</v>
      </c>
    </row>
    <row r="427" spans="1:7" x14ac:dyDescent="0.3">
      <c r="A427">
        <v>1426</v>
      </c>
      <c r="B427" s="1">
        <v>45717</v>
      </c>
      <c r="C427" t="s">
        <v>10</v>
      </c>
      <c r="D427" t="s">
        <v>13</v>
      </c>
      <c r="E427">
        <v>32935</v>
      </c>
      <c r="F427">
        <v>1014</v>
      </c>
      <c r="G427">
        <v>4</v>
      </c>
    </row>
    <row r="428" spans="1:7" x14ac:dyDescent="0.3">
      <c r="A428">
        <v>1427</v>
      </c>
      <c r="B428" s="1">
        <v>45718</v>
      </c>
      <c r="C428" t="s">
        <v>10</v>
      </c>
      <c r="D428" t="s">
        <v>11</v>
      </c>
      <c r="E428">
        <v>42641</v>
      </c>
      <c r="F428">
        <v>7794</v>
      </c>
      <c r="G428">
        <v>4</v>
      </c>
    </row>
    <row r="429" spans="1:7" x14ac:dyDescent="0.3">
      <c r="A429">
        <v>1428</v>
      </c>
      <c r="B429" s="1">
        <v>45719</v>
      </c>
      <c r="C429" t="s">
        <v>9</v>
      </c>
      <c r="D429" t="s">
        <v>13</v>
      </c>
      <c r="E429">
        <v>34711</v>
      </c>
      <c r="F429">
        <v>5404</v>
      </c>
      <c r="G429">
        <v>7</v>
      </c>
    </row>
    <row r="430" spans="1:7" x14ac:dyDescent="0.3">
      <c r="A430">
        <v>1429</v>
      </c>
      <c r="B430" s="1">
        <v>45720</v>
      </c>
      <c r="C430" t="s">
        <v>10</v>
      </c>
      <c r="D430" t="s">
        <v>11</v>
      </c>
      <c r="E430">
        <v>75342</v>
      </c>
      <c r="F430">
        <v>8367</v>
      </c>
      <c r="G430">
        <v>8</v>
      </c>
    </row>
    <row r="431" spans="1:7" x14ac:dyDescent="0.3">
      <c r="A431">
        <v>1430</v>
      </c>
      <c r="B431" s="1">
        <v>45721</v>
      </c>
      <c r="C431" t="s">
        <v>9</v>
      </c>
      <c r="D431" t="s">
        <v>15</v>
      </c>
      <c r="E431">
        <v>17182</v>
      </c>
      <c r="F431">
        <v>13661</v>
      </c>
      <c r="G431">
        <v>1</v>
      </c>
    </row>
    <row r="432" spans="1:7" x14ac:dyDescent="0.3">
      <c r="A432">
        <v>1431</v>
      </c>
      <c r="B432" s="1">
        <v>45722</v>
      </c>
      <c r="C432" t="s">
        <v>10</v>
      </c>
      <c r="D432" t="s">
        <v>15</v>
      </c>
      <c r="E432">
        <v>61276</v>
      </c>
      <c r="F432">
        <v>4609</v>
      </c>
      <c r="G432">
        <v>5</v>
      </c>
    </row>
    <row r="433" spans="1:7" x14ac:dyDescent="0.3">
      <c r="A433">
        <v>1432</v>
      </c>
      <c r="B433" s="1">
        <v>45723</v>
      </c>
      <c r="C433" t="s">
        <v>14</v>
      </c>
      <c r="D433" t="s">
        <v>8</v>
      </c>
      <c r="E433">
        <v>24541</v>
      </c>
      <c r="F433">
        <v>13758</v>
      </c>
      <c r="G433">
        <v>7</v>
      </c>
    </row>
    <row r="434" spans="1:7" x14ac:dyDescent="0.3">
      <c r="A434">
        <v>1433</v>
      </c>
      <c r="B434" s="1">
        <v>45724</v>
      </c>
      <c r="C434" t="s">
        <v>10</v>
      </c>
      <c r="D434" t="s">
        <v>13</v>
      </c>
      <c r="E434">
        <v>49813</v>
      </c>
      <c r="F434">
        <v>7679</v>
      </c>
      <c r="G434">
        <v>4</v>
      </c>
    </row>
    <row r="435" spans="1:7" x14ac:dyDescent="0.3">
      <c r="A435">
        <v>1434</v>
      </c>
      <c r="B435" s="1">
        <v>45725</v>
      </c>
      <c r="C435" t="s">
        <v>9</v>
      </c>
      <c r="D435" t="s">
        <v>8</v>
      </c>
      <c r="E435">
        <v>42198</v>
      </c>
      <c r="F435">
        <v>10826</v>
      </c>
      <c r="G435">
        <v>4</v>
      </c>
    </row>
    <row r="436" spans="1:7" x14ac:dyDescent="0.3">
      <c r="A436">
        <v>1435</v>
      </c>
      <c r="B436" s="1">
        <v>45726</v>
      </c>
      <c r="C436" t="s">
        <v>9</v>
      </c>
      <c r="D436" t="s">
        <v>13</v>
      </c>
      <c r="E436">
        <v>13820</v>
      </c>
      <c r="F436">
        <v>12287</v>
      </c>
      <c r="G436">
        <v>4</v>
      </c>
    </row>
    <row r="437" spans="1:7" x14ac:dyDescent="0.3">
      <c r="A437">
        <v>1436</v>
      </c>
      <c r="B437" s="1">
        <v>45727</v>
      </c>
      <c r="C437" t="s">
        <v>9</v>
      </c>
      <c r="D437" t="s">
        <v>8</v>
      </c>
      <c r="E437">
        <v>29070</v>
      </c>
      <c r="F437">
        <v>11648</v>
      </c>
      <c r="G437">
        <v>6</v>
      </c>
    </row>
    <row r="438" spans="1:7" x14ac:dyDescent="0.3">
      <c r="A438">
        <v>1437</v>
      </c>
      <c r="B438" s="1">
        <v>45728</v>
      </c>
      <c r="C438" t="s">
        <v>9</v>
      </c>
      <c r="D438" t="s">
        <v>12</v>
      </c>
      <c r="E438">
        <v>74768</v>
      </c>
      <c r="F438">
        <v>2060</v>
      </c>
      <c r="G438">
        <v>7</v>
      </c>
    </row>
    <row r="439" spans="1:7" x14ac:dyDescent="0.3">
      <c r="A439">
        <v>1438</v>
      </c>
      <c r="B439" s="1">
        <v>45729</v>
      </c>
      <c r="C439" t="s">
        <v>9</v>
      </c>
      <c r="D439" t="s">
        <v>12</v>
      </c>
      <c r="E439">
        <v>16122</v>
      </c>
      <c r="F439">
        <v>14112</v>
      </c>
      <c r="G439">
        <v>2</v>
      </c>
    </row>
    <row r="440" spans="1:7" x14ac:dyDescent="0.3">
      <c r="A440">
        <v>1439</v>
      </c>
      <c r="B440" s="1">
        <v>45730</v>
      </c>
      <c r="C440" t="s">
        <v>7</v>
      </c>
      <c r="D440" t="s">
        <v>12</v>
      </c>
      <c r="E440">
        <v>78543</v>
      </c>
      <c r="F440">
        <v>1766</v>
      </c>
      <c r="G440">
        <v>5</v>
      </c>
    </row>
    <row r="441" spans="1:7" x14ac:dyDescent="0.3">
      <c r="A441">
        <v>1440</v>
      </c>
      <c r="B441" s="1">
        <v>45731</v>
      </c>
      <c r="C441" t="s">
        <v>7</v>
      </c>
      <c r="D441" t="s">
        <v>12</v>
      </c>
      <c r="E441">
        <v>46786</v>
      </c>
      <c r="F441">
        <v>10861</v>
      </c>
      <c r="G441">
        <v>4</v>
      </c>
    </row>
    <row r="442" spans="1:7" x14ac:dyDescent="0.3">
      <c r="A442">
        <v>1441</v>
      </c>
      <c r="B442" s="1">
        <v>45732</v>
      </c>
      <c r="C442" t="s">
        <v>10</v>
      </c>
      <c r="D442" t="s">
        <v>11</v>
      </c>
      <c r="E442">
        <v>11737</v>
      </c>
      <c r="F442">
        <v>4138</v>
      </c>
      <c r="G442">
        <v>3</v>
      </c>
    </row>
    <row r="443" spans="1:7" x14ac:dyDescent="0.3">
      <c r="A443">
        <v>1442</v>
      </c>
      <c r="B443" s="1">
        <v>45733</v>
      </c>
      <c r="C443" t="s">
        <v>9</v>
      </c>
      <c r="D443" t="s">
        <v>12</v>
      </c>
      <c r="E443">
        <v>41062</v>
      </c>
      <c r="F443">
        <v>9441</v>
      </c>
      <c r="G443">
        <v>7</v>
      </c>
    </row>
    <row r="444" spans="1:7" x14ac:dyDescent="0.3">
      <c r="A444">
        <v>1443</v>
      </c>
      <c r="B444" s="1">
        <v>45734</v>
      </c>
      <c r="C444" t="s">
        <v>10</v>
      </c>
      <c r="D444" t="s">
        <v>15</v>
      </c>
      <c r="E444">
        <v>59237</v>
      </c>
      <c r="F444">
        <v>3927</v>
      </c>
      <c r="G444">
        <v>6</v>
      </c>
    </row>
    <row r="445" spans="1:7" x14ac:dyDescent="0.3">
      <c r="A445">
        <v>1444</v>
      </c>
      <c r="B445" s="1">
        <v>45735</v>
      </c>
      <c r="C445" t="s">
        <v>9</v>
      </c>
      <c r="D445" t="s">
        <v>15</v>
      </c>
      <c r="E445">
        <v>56571</v>
      </c>
      <c r="F445">
        <v>5280</v>
      </c>
      <c r="G445">
        <v>7</v>
      </c>
    </row>
    <row r="446" spans="1:7" x14ac:dyDescent="0.3">
      <c r="A446">
        <v>1445</v>
      </c>
      <c r="B446" s="1">
        <v>45736</v>
      </c>
      <c r="C446" t="s">
        <v>9</v>
      </c>
      <c r="D446" t="s">
        <v>11</v>
      </c>
      <c r="E446">
        <v>30510</v>
      </c>
      <c r="F446">
        <v>2427</v>
      </c>
      <c r="G446">
        <v>5</v>
      </c>
    </row>
    <row r="447" spans="1:7" x14ac:dyDescent="0.3">
      <c r="A447">
        <v>1446</v>
      </c>
      <c r="B447" s="1">
        <v>45737</v>
      </c>
      <c r="C447" t="s">
        <v>7</v>
      </c>
      <c r="D447" t="s">
        <v>12</v>
      </c>
      <c r="E447">
        <v>24426</v>
      </c>
      <c r="F447">
        <v>12496</v>
      </c>
      <c r="G447">
        <v>6</v>
      </c>
    </row>
    <row r="448" spans="1:7" x14ac:dyDescent="0.3">
      <c r="A448">
        <v>1447</v>
      </c>
      <c r="B448" s="1">
        <v>45738</v>
      </c>
      <c r="C448" t="s">
        <v>7</v>
      </c>
      <c r="D448" t="s">
        <v>12</v>
      </c>
      <c r="E448">
        <v>42265</v>
      </c>
      <c r="F448">
        <v>12394</v>
      </c>
      <c r="G448">
        <v>5</v>
      </c>
    </row>
    <row r="449" spans="1:7" x14ac:dyDescent="0.3">
      <c r="A449">
        <v>1448</v>
      </c>
      <c r="B449" s="1">
        <v>45739</v>
      </c>
      <c r="C449" t="s">
        <v>14</v>
      </c>
      <c r="D449" t="s">
        <v>12</v>
      </c>
      <c r="E449">
        <v>22850</v>
      </c>
      <c r="F449">
        <v>2856</v>
      </c>
      <c r="G449">
        <v>7</v>
      </c>
    </row>
    <row r="450" spans="1:7" x14ac:dyDescent="0.3">
      <c r="A450">
        <v>1449</v>
      </c>
      <c r="B450" s="1">
        <v>45740</v>
      </c>
      <c r="C450" t="s">
        <v>7</v>
      </c>
      <c r="D450" t="s">
        <v>8</v>
      </c>
      <c r="E450">
        <v>71150</v>
      </c>
      <c r="F450">
        <v>5290</v>
      </c>
      <c r="G450">
        <v>2</v>
      </c>
    </row>
    <row r="451" spans="1:7" x14ac:dyDescent="0.3">
      <c r="A451">
        <v>1450</v>
      </c>
      <c r="B451" s="1">
        <v>45741</v>
      </c>
      <c r="C451" t="s">
        <v>14</v>
      </c>
      <c r="D451" t="s">
        <v>13</v>
      </c>
      <c r="E451">
        <v>79910</v>
      </c>
      <c r="F451">
        <v>11027</v>
      </c>
      <c r="G451">
        <v>5</v>
      </c>
    </row>
    <row r="452" spans="1:7" x14ac:dyDescent="0.3">
      <c r="A452">
        <v>1451</v>
      </c>
      <c r="B452" s="1">
        <v>45742</v>
      </c>
      <c r="C452" t="s">
        <v>14</v>
      </c>
      <c r="D452" t="s">
        <v>8</v>
      </c>
      <c r="E452">
        <v>57375</v>
      </c>
      <c r="F452">
        <v>806</v>
      </c>
      <c r="G452">
        <v>6</v>
      </c>
    </row>
    <row r="453" spans="1:7" x14ac:dyDescent="0.3">
      <c r="A453">
        <v>1452</v>
      </c>
      <c r="B453" s="1">
        <v>45743</v>
      </c>
      <c r="C453" t="s">
        <v>14</v>
      </c>
      <c r="D453" t="s">
        <v>13</v>
      </c>
      <c r="E453">
        <v>40435</v>
      </c>
      <c r="F453">
        <v>8479</v>
      </c>
      <c r="G453">
        <v>6</v>
      </c>
    </row>
    <row r="454" spans="1:7" x14ac:dyDescent="0.3">
      <c r="A454">
        <v>1453</v>
      </c>
      <c r="B454" s="1">
        <v>45744</v>
      </c>
      <c r="C454" t="s">
        <v>14</v>
      </c>
      <c r="D454" t="s">
        <v>12</v>
      </c>
      <c r="E454">
        <v>62132</v>
      </c>
      <c r="F454">
        <v>4165</v>
      </c>
      <c r="G454">
        <v>5</v>
      </c>
    </row>
    <row r="455" spans="1:7" x14ac:dyDescent="0.3">
      <c r="A455">
        <v>1454</v>
      </c>
      <c r="B455" s="1">
        <v>45745</v>
      </c>
      <c r="C455" t="s">
        <v>14</v>
      </c>
      <c r="D455" t="s">
        <v>12</v>
      </c>
      <c r="E455">
        <v>7983</v>
      </c>
      <c r="F455">
        <v>10681</v>
      </c>
      <c r="G455">
        <v>7</v>
      </c>
    </row>
    <row r="456" spans="1:7" x14ac:dyDescent="0.3">
      <c r="A456">
        <v>1455</v>
      </c>
      <c r="B456" s="1">
        <v>45746</v>
      </c>
      <c r="C456" t="s">
        <v>10</v>
      </c>
      <c r="D456" t="s">
        <v>8</v>
      </c>
      <c r="E456">
        <v>25662</v>
      </c>
      <c r="F456">
        <v>7557</v>
      </c>
      <c r="G456">
        <v>8</v>
      </c>
    </row>
    <row r="457" spans="1:7" x14ac:dyDescent="0.3">
      <c r="A457">
        <v>1456</v>
      </c>
      <c r="B457" s="1">
        <v>45747</v>
      </c>
      <c r="C457" t="s">
        <v>7</v>
      </c>
      <c r="D457" t="s">
        <v>8</v>
      </c>
      <c r="E457">
        <v>28510</v>
      </c>
      <c r="F457">
        <v>1161</v>
      </c>
      <c r="G457">
        <v>7</v>
      </c>
    </row>
    <row r="458" spans="1:7" x14ac:dyDescent="0.3">
      <c r="A458">
        <v>1457</v>
      </c>
      <c r="B458" s="1">
        <v>45748</v>
      </c>
      <c r="C458" t="s">
        <v>14</v>
      </c>
      <c r="D458" t="s">
        <v>13</v>
      </c>
      <c r="E458">
        <v>45998</v>
      </c>
      <c r="F458">
        <v>5144</v>
      </c>
      <c r="G458">
        <v>5</v>
      </c>
    </row>
    <row r="459" spans="1:7" x14ac:dyDescent="0.3">
      <c r="A459">
        <v>1458</v>
      </c>
      <c r="B459" s="1">
        <v>45749</v>
      </c>
      <c r="C459" t="s">
        <v>9</v>
      </c>
      <c r="D459" t="s">
        <v>15</v>
      </c>
      <c r="E459">
        <v>61846</v>
      </c>
      <c r="F459">
        <v>9003</v>
      </c>
      <c r="G459">
        <v>1</v>
      </c>
    </row>
    <row r="460" spans="1:7" x14ac:dyDescent="0.3">
      <c r="A460">
        <v>1459</v>
      </c>
      <c r="B460" s="1">
        <v>45750</v>
      </c>
      <c r="C460" t="s">
        <v>7</v>
      </c>
      <c r="D460" t="s">
        <v>13</v>
      </c>
      <c r="E460">
        <v>11640</v>
      </c>
      <c r="F460">
        <v>3420</v>
      </c>
      <c r="G460">
        <v>5</v>
      </c>
    </row>
    <row r="461" spans="1:7" x14ac:dyDescent="0.3">
      <c r="A461">
        <v>1460</v>
      </c>
      <c r="B461" s="1">
        <v>45751</v>
      </c>
      <c r="C461" t="s">
        <v>7</v>
      </c>
      <c r="D461" t="s">
        <v>8</v>
      </c>
      <c r="E461">
        <v>49547</v>
      </c>
      <c r="F461">
        <v>9774</v>
      </c>
      <c r="G461">
        <v>2</v>
      </c>
    </row>
    <row r="462" spans="1:7" x14ac:dyDescent="0.3">
      <c r="A462">
        <v>1461</v>
      </c>
      <c r="B462" s="1">
        <v>45752</v>
      </c>
      <c r="C462" t="s">
        <v>14</v>
      </c>
      <c r="D462" t="s">
        <v>8</v>
      </c>
      <c r="E462">
        <v>59620</v>
      </c>
      <c r="F462">
        <v>11663</v>
      </c>
      <c r="G462">
        <v>5</v>
      </c>
    </row>
    <row r="463" spans="1:7" x14ac:dyDescent="0.3">
      <c r="A463">
        <v>1462</v>
      </c>
      <c r="B463" s="1">
        <v>45753</v>
      </c>
      <c r="C463" t="s">
        <v>10</v>
      </c>
      <c r="D463" t="s">
        <v>11</v>
      </c>
      <c r="E463">
        <v>20317</v>
      </c>
      <c r="F463">
        <v>14525</v>
      </c>
      <c r="G463">
        <v>5</v>
      </c>
    </row>
    <row r="464" spans="1:7" x14ac:dyDescent="0.3">
      <c r="A464">
        <v>1463</v>
      </c>
      <c r="B464" s="1">
        <v>45754</v>
      </c>
      <c r="C464" t="s">
        <v>14</v>
      </c>
      <c r="D464" t="s">
        <v>8</v>
      </c>
      <c r="E464">
        <v>12564</v>
      </c>
      <c r="F464">
        <v>9446</v>
      </c>
      <c r="G464">
        <v>2</v>
      </c>
    </row>
    <row r="465" spans="1:7" x14ac:dyDescent="0.3">
      <c r="A465">
        <v>1464</v>
      </c>
      <c r="B465" s="1">
        <v>45755</v>
      </c>
      <c r="C465" t="s">
        <v>10</v>
      </c>
      <c r="D465" t="s">
        <v>11</v>
      </c>
      <c r="E465">
        <v>32345</v>
      </c>
      <c r="F465">
        <v>12822</v>
      </c>
      <c r="G465">
        <v>5</v>
      </c>
    </row>
    <row r="466" spans="1:7" x14ac:dyDescent="0.3">
      <c r="A466">
        <v>1465</v>
      </c>
      <c r="B466" s="1">
        <v>45756</v>
      </c>
      <c r="C466" t="s">
        <v>9</v>
      </c>
      <c r="D466" t="s">
        <v>15</v>
      </c>
      <c r="E466">
        <v>79859</v>
      </c>
      <c r="F466">
        <v>13232</v>
      </c>
      <c r="G466">
        <v>4</v>
      </c>
    </row>
    <row r="467" spans="1:7" x14ac:dyDescent="0.3">
      <c r="A467">
        <v>1466</v>
      </c>
      <c r="B467" s="1">
        <v>45757</v>
      </c>
      <c r="C467" t="s">
        <v>7</v>
      </c>
      <c r="D467" t="s">
        <v>13</v>
      </c>
      <c r="E467">
        <v>79038</v>
      </c>
      <c r="F467">
        <v>6736</v>
      </c>
      <c r="G467">
        <v>1</v>
      </c>
    </row>
    <row r="468" spans="1:7" x14ac:dyDescent="0.3">
      <c r="A468">
        <v>1467</v>
      </c>
      <c r="B468" s="1">
        <v>45758</v>
      </c>
      <c r="C468" t="s">
        <v>9</v>
      </c>
      <c r="D468" t="s">
        <v>13</v>
      </c>
      <c r="E468">
        <v>57393</v>
      </c>
      <c r="F468">
        <v>6578</v>
      </c>
      <c r="G468">
        <v>3</v>
      </c>
    </row>
    <row r="469" spans="1:7" x14ac:dyDescent="0.3">
      <c r="A469">
        <v>1468</v>
      </c>
      <c r="B469" s="1">
        <v>45759</v>
      </c>
      <c r="C469" t="s">
        <v>10</v>
      </c>
      <c r="D469" t="s">
        <v>11</v>
      </c>
      <c r="E469">
        <v>71081</v>
      </c>
      <c r="F469">
        <v>14018</v>
      </c>
      <c r="G469">
        <v>1</v>
      </c>
    </row>
    <row r="470" spans="1:7" x14ac:dyDescent="0.3">
      <c r="A470">
        <v>1469</v>
      </c>
      <c r="B470" s="1">
        <v>45760</v>
      </c>
      <c r="C470" t="s">
        <v>10</v>
      </c>
      <c r="D470" t="s">
        <v>13</v>
      </c>
      <c r="E470">
        <v>34430</v>
      </c>
      <c r="F470">
        <v>852</v>
      </c>
      <c r="G470">
        <v>5</v>
      </c>
    </row>
    <row r="471" spans="1:7" x14ac:dyDescent="0.3">
      <c r="A471">
        <v>1470</v>
      </c>
      <c r="B471" s="1">
        <v>45761</v>
      </c>
      <c r="C471" t="s">
        <v>9</v>
      </c>
      <c r="D471" t="s">
        <v>8</v>
      </c>
      <c r="E471">
        <v>32788</v>
      </c>
      <c r="F471">
        <v>9594</v>
      </c>
      <c r="G471">
        <v>4</v>
      </c>
    </row>
    <row r="472" spans="1:7" x14ac:dyDescent="0.3">
      <c r="A472">
        <v>1471</v>
      </c>
      <c r="B472" s="1">
        <v>45762</v>
      </c>
      <c r="C472" t="s">
        <v>10</v>
      </c>
      <c r="D472" t="s">
        <v>12</v>
      </c>
      <c r="E472">
        <v>53543</v>
      </c>
      <c r="F472">
        <v>14143</v>
      </c>
      <c r="G472">
        <v>7</v>
      </c>
    </row>
    <row r="473" spans="1:7" x14ac:dyDescent="0.3">
      <c r="A473">
        <v>1472</v>
      </c>
      <c r="B473" s="1">
        <v>45763</v>
      </c>
      <c r="C473" t="s">
        <v>9</v>
      </c>
      <c r="D473" t="s">
        <v>11</v>
      </c>
      <c r="E473">
        <v>18919</v>
      </c>
      <c r="F473">
        <v>12580</v>
      </c>
      <c r="G473">
        <v>5</v>
      </c>
    </row>
    <row r="474" spans="1:7" x14ac:dyDescent="0.3">
      <c r="A474">
        <v>1473</v>
      </c>
      <c r="B474" s="1">
        <v>45764</v>
      </c>
      <c r="C474" t="s">
        <v>7</v>
      </c>
      <c r="D474" t="s">
        <v>13</v>
      </c>
      <c r="E474">
        <v>74346</v>
      </c>
      <c r="F474">
        <v>7505</v>
      </c>
      <c r="G474">
        <v>4</v>
      </c>
    </row>
    <row r="475" spans="1:7" x14ac:dyDescent="0.3">
      <c r="A475">
        <v>1474</v>
      </c>
      <c r="B475" s="1">
        <v>45765</v>
      </c>
      <c r="C475" t="s">
        <v>9</v>
      </c>
      <c r="D475" t="s">
        <v>11</v>
      </c>
      <c r="E475">
        <v>44974</v>
      </c>
      <c r="F475">
        <v>14536</v>
      </c>
      <c r="G475">
        <v>2</v>
      </c>
    </row>
    <row r="476" spans="1:7" x14ac:dyDescent="0.3">
      <c r="A476">
        <v>1475</v>
      </c>
      <c r="B476" s="1">
        <v>45766</v>
      </c>
      <c r="C476" t="s">
        <v>7</v>
      </c>
      <c r="D476" t="s">
        <v>11</v>
      </c>
      <c r="E476">
        <v>21371</v>
      </c>
      <c r="F476">
        <v>658</v>
      </c>
      <c r="G476">
        <v>4</v>
      </c>
    </row>
    <row r="477" spans="1:7" x14ac:dyDescent="0.3">
      <c r="A477">
        <v>1476</v>
      </c>
      <c r="B477" s="1">
        <v>45767</v>
      </c>
      <c r="C477" t="s">
        <v>9</v>
      </c>
      <c r="D477" t="s">
        <v>12</v>
      </c>
      <c r="E477">
        <v>50084</v>
      </c>
      <c r="F477">
        <v>10669</v>
      </c>
      <c r="G477">
        <v>2</v>
      </c>
    </row>
    <row r="478" spans="1:7" x14ac:dyDescent="0.3">
      <c r="A478">
        <v>1477</v>
      </c>
      <c r="B478" s="1">
        <v>45768</v>
      </c>
      <c r="C478" t="s">
        <v>10</v>
      </c>
      <c r="D478" t="s">
        <v>8</v>
      </c>
      <c r="E478">
        <v>34629</v>
      </c>
      <c r="F478">
        <v>1456</v>
      </c>
      <c r="G478">
        <v>8</v>
      </c>
    </row>
    <row r="479" spans="1:7" x14ac:dyDescent="0.3">
      <c r="A479">
        <v>1478</v>
      </c>
      <c r="B479" s="1">
        <v>45769</v>
      </c>
      <c r="C479" t="s">
        <v>9</v>
      </c>
      <c r="D479" t="s">
        <v>11</v>
      </c>
      <c r="E479">
        <v>56184</v>
      </c>
      <c r="F479">
        <v>2571</v>
      </c>
      <c r="G479">
        <v>3</v>
      </c>
    </row>
    <row r="480" spans="1:7" x14ac:dyDescent="0.3">
      <c r="A480">
        <v>1479</v>
      </c>
      <c r="B480" s="1">
        <v>45770</v>
      </c>
      <c r="C480" t="s">
        <v>10</v>
      </c>
      <c r="D480" t="s">
        <v>13</v>
      </c>
      <c r="E480">
        <v>66916</v>
      </c>
      <c r="F480">
        <v>9095</v>
      </c>
      <c r="G480">
        <v>9</v>
      </c>
    </row>
    <row r="481" spans="1:7" x14ac:dyDescent="0.3">
      <c r="A481">
        <v>1480</v>
      </c>
      <c r="B481" s="1">
        <v>45771</v>
      </c>
      <c r="C481" t="s">
        <v>9</v>
      </c>
      <c r="D481" t="s">
        <v>15</v>
      </c>
      <c r="E481">
        <v>78972</v>
      </c>
      <c r="F481">
        <v>13303</v>
      </c>
      <c r="G481">
        <v>4</v>
      </c>
    </row>
    <row r="482" spans="1:7" x14ac:dyDescent="0.3">
      <c r="A482">
        <v>1481</v>
      </c>
      <c r="B482" s="1">
        <v>45772</v>
      </c>
      <c r="C482" t="s">
        <v>9</v>
      </c>
      <c r="D482" t="s">
        <v>11</v>
      </c>
      <c r="E482">
        <v>67187</v>
      </c>
      <c r="F482">
        <v>11471</v>
      </c>
      <c r="G482">
        <v>6</v>
      </c>
    </row>
    <row r="483" spans="1:7" x14ac:dyDescent="0.3">
      <c r="A483">
        <v>1482</v>
      </c>
      <c r="B483" s="1">
        <v>45773</v>
      </c>
      <c r="C483" t="s">
        <v>14</v>
      </c>
      <c r="D483" t="s">
        <v>11</v>
      </c>
      <c r="E483">
        <v>17984</v>
      </c>
      <c r="F483">
        <v>10079</v>
      </c>
      <c r="G483">
        <v>5</v>
      </c>
    </row>
    <row r="484" spans="1:7" x14ac:dyDescent="0.3">
      <c r="A484">
        <v>1483</v>
      </c>
      <c r="B484" s="1">
        <v>45774</v>
      </c>
      <c r="C484" t="s">
        <v>10</v>
      </c>
      <c r="D484" t="s">
        <v>12</v>
      </c>
      <c r="E484">
        <v>38039</v>
      </c>
      <c r="F484">
        <v>3953</v>
      </c>
      <c r="G484">
        <v>1</v>
      </c>
    </row>
    <row r="485" spans="1:7" x14ac:dyDescent="0.3">
      <c r="A485">
        <v>1484</v>
      </c>
      <c r="B485" s="1">
        <v>45775</v>
      </c>
      <c r="C485" t="s">
        <v>14</v>
      </c>
      <c r="D485" t="s">
        <v>8</v>
      </c>
      <c r="E485">
        <v>63606</v>
      </c>
      <c r="F485">
        <v>7175</v>
      </c>
      <c r="G485">
        <v>9</v>
      </c>
    </row>
    <row r="486" spans="1:7" x14ac:dyDescent="0.3">
      <c r="A486">
        <v>1485</v>
      </c>
      <c r="B486" s="1">
        <v>45776</v>
      </c>
      <c r="C486" t="s">
        <v>10</v>
      </c>
      <c r="D486" t="s">
        <v>15</v>
      </c>
      <c r="E486">
        <v>15616</v>
      </c>
      <c r="F486">
        <v>1455</v>
      </c>
      <c r="G486">
        <v>1</v>
      </c>
    </row>
    <row r="487" spans="1:7" x14ac:dyDescent="0.3">
      <c r="A487">
        <v>1486</v>
      </c>
      <c r="B487" s="1">
        <v>45777</v>
      </c>
      <c r="C487" t="s">
        <v>14</v>
      </c>
      <c r="D487" t="s">
        <v>13</v>
      </c>
      <c r="E487">
        <v>55072</v>
      </c>
      <c r="F487">
        <v>6795</v>
      </c>
      <c r="G487">
        <v>8</v>
      </c>
    </row>
    <row r="488" spans="1:7" x14ac:dyDescent="0.3">
      <c r="A488">
        <v>1487</v>
      </c>
      <c r="B488" s="1">
        <v>45778</v>
      </c>
      <c r="C488" t="s">
        <v>7</v>
      </c>
      <c r="D488" t="s">
        <v>15</v>
      </c>
      <c r="E488">
        <v>29574</v>
      </c>
      <c r="F488">
        <v>2212</v>
      </c>
      <c r="G488">
        <v>9</v>
      </c>
    </row>
    <row r="489" spans="1:7" x14ac:dyDescent="0.3">
      <c r="A489">
        <v>1488</v>
      </c>
      <c r="B489" s="1">
        <v>45779</v>
      </c>
      <c r="C489" t="s">
        <v>9</v>
      </c>
      <c r="D489" t="s">
        <v>13</v>
      </c>
      <c r="E489">
        <v>8430</v>
      </c>
      <c r="F489">
        <v>5203</v>
      </c>
      <c r="G489">
        <v>9</v>
      </c>
    </row>
    <row r="490" spans="1:7" x14ac:dyDescent="0.3">
      <c r="A490">
        <v>1489</v>
      </c>
      <c r="B490" s="1">
        <v>45780</v>
      </c>
      <c r="C490" t="s">
        <v>10</v>
      </c>
      <c r="D490" t="s">
        <v>8</v>
      </c>
      <c r="E490">
        <v>17676</v>
      </c>
      <c r="F490">
        <v>7063</v>
      </c>
      <c r="G490">
        <v>1</v>
      </c>
    </row>
    <row r="491" spans="1:7" x14ac:dyDescent="0.3">
      <c r="A491">
        <v>1490</v>
      </c>
      <c r="B491" s="1">
        <v>45781</v>
      </c>
      <c r="C491" t="s">
        <v>10</v>
      </c>
      <c r="D491" t="s">
        <v>13</v>
      </c>
      <c r="E491">
        <v>15816</v>
      </c>
      <c r="F491">
        <v>9965</v>
      </c>
      <c r="G491">
        <v>2</v>
      </c>
    </row>
    <row r="492" spans="1:7" x14ac:dyDescent="0.3">
      <c r="A492">
        <v>1491</v>
      </c>
      <c r="B492" s="1">
        <v>45782</v>
      </c>
      <c r="C492" t="s">
        <v>9</v>
      </c>
      <c r="D492" t="s">
        <v>12</v>
      </c>
      <c r="E492">
        <v>37733</v>
      </c>
      <c r="F492">
        <v>6131</v>
      </c>
      <c r="G492">
        <v>1</v>
      </c>
    </row>
    <row r="493" spans="1:7" x14ac:dyDescent="0.3">
      <c r="A493">
        <v>1492</v>
      </c>
      <c r="B493" s="1">
        <v>45783</v>
      </c>
      <c r="C493" t="s">
        <v>10</v>
      </c>
      <c r="D493" t="s">
        <v>12</v>
      </c>
      <c r="E493">
        <v>7050</v>
      </c>
      <c r="F493">
        <v>12503</v>
      </c>
      <c r="G493">
        <v>2</v>
      </c>
    </row>
    <row r="494" spans="1:7" x14ac:dyDescent="0.3">
      <c r="A494">
        <v>1493</v>
      </c>
      <c r="B494" s="1">
        <v>45784</v>
      </c>
      <c r="C494" t="s">
        <v>10</v>
      </c>
      <c r="D494" t="s">
        <v>12</v>
      </c>
      <c r="E494">
        <v>38933</v>
      </c>
      <c r="F494">
        <v>11317</v>
      </c>
      <c r="G494">
        <v>8</v>
      </c>
    </row>
    <row r="495" spans="1:7" x14ac:dyDescent="0.3">
      <c r="A495">
        <v>1494</v>
      </c>
      <c r="B495" s="1">
        <v>45785</v>
      </c>
      <c r="C495" t="s">
        <v>14</v>
      </c>
      <c r="D495" t="s">
        <v>12</v>
      </c>
      <c r="E495">
        <v>29951</v>
      </c>
      <c r="F495">
        <v>11074</v>
      </c>
      <c r="G495">
        <v>5</v>
      </c>
    </row>
    <row r="496" spans="1:7" x14ac:dyDescent="0.3">
      <c r="A496">
        <v>1495</v>
      </c>
      <c r="B496" s="1">
        <v>45786</v>
      </c>
      <c r="C496" t="s">
        <v>10</v>
      </c>
      <c r="D496" t="s">
        <v>15</v>
      </c>
      <c r="E496">
        <v>37413</v>
      </c>
      <c r="F496">
        <v>10133</v>
      </c>
      <c r="G496">
        <v>7</v>
      </c>
    </row>
    <row r="497" spans="1:7" x14ac:dyDescent="0.3">
      <c r="A497">
        <v>1496</v>
      </c>
      <c r="B497" s="1">
        <v>45787</v>
      </c>
      <c r="C497" t="s">
        <v>7</v>
      </c>
      <c r="D497" t="s">
        <v>8</v>
      </c>
      <c r="E497">
        <v>39801</v>
      </c>
      <c r="F497">
        <v>11671</v>
      </c>
      <c r="G497">
        <v>2</v>
      </c>
    </row>
    <row r="498" spans="1:7" x14ac:dyDescent="0.3">
      <c r="A498">
        <v>1497</v>
      </c>
      <c r="B498" s="1">
        <v>45788</v>
      </c>
      <c r="C498" t="s">
        <v>7</v>
      </c>
      <c r="D498" t="s">
        <v>13</v>
      </c>
      <c r="E498">
        <v>60619</v>
      </c>
      <c r="F498">
        <v>10489</v>
      </c>
      <c r="G498">
        <v>8</v>
      </c>
    </row>
    <row r="499" spans="1:7" x14ac:dyDescent="0.3">
      <c r="A499">
        <v>1498</v>
      </c>
      <c r="B499" s="1">
        <v>45789</v>
      </c>
      <c r="C499" t="s">
        <v>9</v>
      </c>
      <c r="D499" t="s">
        <v>13</v>
      </c>
      <c r="E499">
        <v>37913</v>
      </c>
      <c r="F499">
        <v>13082</v>
      </c>
      <c r="G499">
        <v>6</v>
      </c>
    </row>
    <row r="500" spans="1:7" x14ac:dyDescent="0.3">
      <c r="A500">
        <v>1499</v>
      </c>
      <c r="B500" s="1">
        <v>45790</v>
      </c>
      <c r="C500" t="s">
        <v>10</v>
      </c>
      <c r="D500" t="s">
        <v>12</v>
      </c>
      <c r="E500">
        <v>45600</v>
      </c>
      <c r="F500">
        <v>12701</v>
      </c>
      <c r="G500">
        <v>8</v>
      </c>
    </row>
    <row r="501" spans="1:7" x14ac:dyDescent="0.3">
      <c r="A501">
        <v>1500</v>
      </c>
      <c r="B501" s="1">
        <v>45791</v>
      </c>
      <c r="C501" t="s">
        <v>9</v>
      </c>
      <c r="D501" t="s">
        <v>12</v>
      </c>
      <c r="E501">
        <v>62775</v>
      </c>
      <c r="F501">
        <v>13542</v>
      </c>
      <c r="G501">
        <v>1</v>
      </c>
    </row>
  </sheetData>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SALES DASHBOARD PROJECT</vt:lpstr>
      <vt:lpstr>sales_dashboard_dataset_500_row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sunendraachi</dc:creator>
  <cp:lastModifiedBy>sunendra achi</cp:lastModifiedBy>
  <dcterms:created xsi:type="dcterms:W3CDTF">2026-03-29T14:40:13Z</dcterms:created>
  <dcterms:modified xsi:type="dcterms:W3CDTF">2026-03-29T16:31:44Z</dcterms:modified>
</cp:coreProperties>
</file>